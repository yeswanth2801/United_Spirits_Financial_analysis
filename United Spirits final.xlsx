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a1ebf6d2da7edb3/Desktop/DIAGEO/"/>
    </mc:Choice>
  </mc:AlternateContent>
  <xr:revisionPtr revIDLastSave="181" documentId="11_8CF03A8372964E7D4CA481A026F9CB6572509599" xr6:coauthVersionLast="47" xr6:coauthVersionMax="47" xr10:uidLastSave="{E0C5418B-9EC0-4AA1-95BD-85283A7B71BA}"/>
  <bookViews>
    <workbookView xWindow="-108" yWindow="-108" windowWidth="23256" windowHeight="13896" tabRatio="500" xr2:uid="{00000000-000D-0000-FFFF-FFFF00000000}"/>
  </bookViews>
  <sheets>
    <sheet name="FS &amp; Trend Analysis" sheetId="1" r:id="rId1"/>
    <sheet name="Sheet1" sheetId="2" r:id="rId2"/>
    <sheet name="Common Size FS" sheetId="3" r:id="rId3"/>
    <sheet name="Comparative FS" sheetId="4" r:id="rId4"/>
    <sheet name="Cash Flow Statement" sheetId="5" r:id="rId5"/>
    <sheet name="Shareholding" sheetId="6" r:id="rId6"/>
    <sheet name="Line Item Meaning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7" i="4" l="1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70" i="4"/>
  <c r="D70" i="4"/>
  <c r="E70" i="4"/>
  <c r="F70" i="4"/>
  <c r="G70" i="4"/>
  <c r="E71" i="4"/>
  <c r="F71" i="4"/>
  <c r="G71" i="4"/>
  <c r="C72" i="4"/>
  <c r="D72" i="4"/>
  <c r="E72" i="4"/>
  <c r="F72" i="4"/>
  <c r="G72" i="4"/>
  <c r="C74" i="4"/>
  <c r="D74" i="4"/>
  <c r="E74" i="4"/>
  <c r="F74" i="4"/>
  <c r="G74" i="4"/>
  <c r="C75" i="4"/>
  <c r="D75" i="4"/>
  <c r="E75" i="4"/>
  <c r="F75" i="4"/>
  <c r="G75" i="4"/>
  <c r="G76" i="4"/>
  <c r="C77" i="4"/>
  <c r="D77" i="4"/>
  <c r="E77" i="4"/>
  <c r="F77" i="4"/>
  <c r="G77" i="4"/>
  <c r="C78" i="4"/>
  <c r="D78" i="4"/>
  <c r="E78" i="4"/>
  <c r="F78" i="4"/>
  <c r="G78" i="4"/>
  <c r="C79" i="4"/>
  <c r="D79" i="4"/>
  <c r="E79" i="4"/>
  <c r="F79" i="4"/>
  <c r="G79" i="4"/>
  <c r="C80" i="4"/>
  <c r="D80" i="4"/>
  <c r="E80" i="4"/>
  <c r="F80" i="4"/>
  <c r="G80" i="4"/>
  <c r="C81" i="4"/>
  <c r="D81" i="4"/>
  <c r="E81" i="4"/>
  <c r="F81" i="4"/>
  <c r="G81" i="4"/>
  <c r="C84" i="4"/>
  <c r="D84" i="4"/>
  <c r="E84" i="4"/>
  <c r="F84" i="4"/>
  <c r="G84" i="4"/>
  <c r="C86" i="4"/>
  <c r="D86" i="4"/>
  <c r="E86" i="4"/>
  <c r="F86" i="4"/>
  <c r="G86" i="4"/>
  <c r="C87" i="4"/>
  <c r="D87" i="4"/>
  <c r="E87" i="4"/>
  <c r="F87" i="4"/>
  <c r="G87" i="4"/>
  <c r="C88" i="4"/>
  <c r="D88" i="4"/>
  <c r="E88" i="4"/>
  <c r="F88" i="4"/>
  <c r="G88" i="4"/>
  <c r="C89" i="4"/>
  <c r="D89" i="4"/>
  <c r="E89" i="4"/>
  <c r="F89" i="4"/>
  <c r="G89" i="4"/>
  <c r="C90" i="4"/>
  <c r="D90" i="4"/>
  <c r="E90" i="4"/>
  <c r="F90" i="4"/>
  <c r="G90" i="4"/>
  <c r="C91" i="4"/>
  <c r="D91" i="4"/>
  <c r="E91" i="4"/>
  <c r="F91" i="4"/>
  <c r="G91" i="4"/>
  <c r="C92" i="4"/>
  <c r="D92" i="4"/>
  <c r="E92" i="4"/>
  <c r="F92" i="4"/>
  <c r="G92" i="4"/>
  <c r="C94" i="4"/>
  <c r="D94" i="4"/>
  <c r="E94" i="4"/>
  <c r="F94" i="4"/>
  <c r="G94" i="4"/>
  <c r="C95" i="4"/>
  <c r="D95" i="4"/>
  <c r="E95" i="4"/>
  <c r="F95" i="4"/>
  <c r="G95" i="4"/>
  <c r="C42" i="4"/>
  <c r="D42" i="4"/>
  <c r="E42" i="4"/>
  <c r="F42" i="4"/>
  <c r="C43" i="4"/>
  <c r="D43" i="4"/>
  <c r="E43" i="4"/>
  <c r="F43" i="4"/>
  <c r="C44" i="4"/>
  <c r="D44" i="4"/>
  <c r="E44" i="4"/>
  <c r="F44" i="4"/>
  <c r="C45" i="4"/>
  <c r="D45" i="4"/>
  <c r="E45" i="4"/>
  <c r="F45" i="4"/>
  <c r="C46" i="4"/>
  <c r="D46" i="4"/>
  <c r="E46" i="4"/>
  <c r="F46" i="4"/>
  <c r="C49" i="4"/>
  <c r="D49" i="4"/>
  <c r="E49" i="4"/>
  <c r="F49" i="4"/>
  <c r="C50" i="4"/>
  <c r="D50" i="4"/>
  <c r="E50" i="4"/>
  <c r="F50" i="4"/>
  <c r="C51" i="4"/>
  <c r="D51" i="4"/>
  <c r="E51" i="4"/>
  <c r="F51" i="4"/>
  <c r="C52" i="4"/>
  <c r="D52" i="4"/>
  <c r="E52" i="4"/>
  <c r="F52" i="4"/>
  <c r="C53" i="4"/>
  <c r="D53" i="4"/>
  <c r="E53" i="4"/>
  <c r="F53" i="4"/>
  <c r="C55" i="4"/>
  <c r="D55" i="4"/>
  <c r="E55" i="4"/>
  <c r="F55" i="4"/>
  <c r="C56" i="4"/>
  <c r="D56" i="4"/>
  <c r="E56" i="4"/>
  <c r="F56" i="4"/>
  <c r="C57" i="4"/>
  <c r="D57" i="4"/>
  <c r="E57" i="4"/>
  <c r="F57" i="4"/>
  <c r="C58" i="4"/>
  <c r="D58" i="4"/>
  <c r="E58" i="4"/>
  <c r="F58" i="4"/>
  <c r="C59" i="4"/>
  <c r="D59" i="4"/>
  <c r="E59" i="4"/>
  <c r="F59" i="4"/>
  <c r="C60" i="4"/>
  <c r="D60" i="4"/>
  <c r="E60" i="4"/>
  <c r="F60" i="4"/>
  <c r="C61" i="4"/>
  <c r="D61" i="4"/>
  <c r="E61" i="4"/>
  <c r="F61" i="4"/>
  <c r="C62" i="4"/>
  <c r="D62" i="4"/>
  <c r="E62" i="4"/>
  <c r="F62" i="4"/>
  <c r="C63" i="4"/>
  <c r="D63" i="4"/>
  <c r="E63" i="4"/>
  <c r="F63" i="4"/>
  <c r="C64" i="4"/>
  <c r="D64" i="4"/>
  <c r="E64" i="4"/>
  <c r="F64" i="4"/>
  <c r="G42" i="4"/>
  <c r="G43" i="4"/>
  <c r="G44" i="4"/>
  <c r="G45" i="4"/>
  <c r="G46" i="4"/>
  <c r="G49" i="4"/>
  <c r="G50" i="4"/>
  <c r="G51" i="4"/>
  <c r="G52" i="4"/>
  <c r="G53" i="4"/>
  <c r="G55" i="4"/>
  <c r="G56" i="4"/>
  <c r="G57" i="4"/>
  <c r="G58" i="4"/>
  <c r="G59" i="4"/>
  <c r="G60" i="4"/>
  <c r="G61" i="4"/>
  <c r="G62" i="4"/>
  <c r="G63" i="4"/>
  <c r="G64" i="4"/>
  <c r="C6" i="4"/>
  <c r="D6" i="4"/>
  <c r="E6" i="4"/>
  <c r="F6" i="4"/>
  <c r="C7" i="4"/>
  <c r="D7" i="4"/>
  <c r="E7" i="4"/>
  <c r="F7" i="4"/>
  <c r="C8" i="4"/>
  <c r="D8" i="4"/>
  <c r="E8" i="4"/>
  <c r="F8" i="4"/>
  <c r="C11" i="4"/>
  <c r="D11" i="4"/>
  <c r="E11" i="4"/>
  <c r="F11" i="4"/>
  <c r="C12" i="4"/>
  <c r="D12" i="4"/>
  <c r="E12" i="4"/>
  <c r="F12" i="4"/>
  <c r="C13" i="4"/>
  <c r="D13" i="4"/>
  <c r="E13" i="4"/>
  <c r="F13" i="4"/>
  <c r="C14" i="4"/>
  <c r="D14" i="4"/>
  <c r="E14" i="4"/>
  <c r="F14" i="4"/>
  <c r="C15" i="4"/>
  <c r="D15" i="4"/>
  <c r="E15" i="4"/>
  <c r="F15" i="4"/>
  <c r="C16" i="4"/>
  <c r="D16" i="4"/>
  <c r="E16" i="4"/>
  <c r="F16" i="4"/>
  <c r="C17" i="4"/>
  <c r="D17" i="4"/>
  <c r="E17" i="4"/>
  <c r="F17" i="4"/>
  <c r="C18" i="4"/>
  <c r="D18" i="4"/>
  <c r="E18" i="4"/>
  <c r="F18" i="4"/>
  <c r="C20" i="4"/>
  <c r="D20" i="4"/>
  <c r="E20" i="4"/>
  <c r="F20" i="4"/>
  <c r="C21" i="4"/>
  <c r="D21" i="4"/>
  <c r="E21" i="4"/>
  <c r="F21" i="4"/>
  <c r="C22" i="4"/>
  <c r="D22" i="4"/>
  <c r="E22" i="4"/>
  <c r="F22" i="4"/>
  <c r="C23" i="4"/>
  <c r="D23" i="4"/>
  <c r="E23" i="4"/>
  <c r="F23" i="4"/>
  <c r="C24" i="4"/>
  <c r="D24" i="4"/>
  <c r="E24" i="4"/>
  <c r="F24" i="4"/>
  <c r="C26" i="4"/>
  <c r="D26" i="4"/>
  <c r="E26" i="4"/>
  <c r="F26" i="4"/>
  <c r="C27" i="4"/>
  <c r="D27" i="4"/>
  <c r="E27" i="4"/>
  <c r="F27" i="4"/>
  <c r="C28" i="4"/>
  <c r="D28" i="4"/>
  <c r="E28" i="4"/>
  <c r="F28" i="4"/>
  <c r="C29" i="4"/>
  <c r="D29" i="4"/>
  <c r="E29" i="4"/>
  <c r="F29" i="4"/>
  <c r="C30" i="4"/>
  <c r="D30" i="4"/>
  <c r="E30" i="4"/>
  <c r="F30" i="4"/>
  <c r="C32" i="4"/>
  <c r="D32" i="4"/>
  <c r="E32" i="4"/>
  <c r="F32" i="4"/>
  <c r="C33" i="4"/>
  <c r="D33" i="4"/>
  <c r="E33" i="4"/>
  <c r="F33" i="4"/>
  <c r="C34" i="4"/>
  <c r="D34" i="4"/>
  <c r="E34" i="4"/>
  <c r="F34" i="4"/>
  <c r="G7" i="4"/>
  <c r="G8" i="4"/>
  <c r="G11" i="4"/>
  <c r="G12" i="4"/>
  <c r="G13" i="4"/>
  <c r="G14" i="4"/>
  <c r="G15" i="4"/>
  <c r="G16" i="4"/>
  <c r="G17" i="4"/>
  <c r="G18" i="4"/>
  <c r="G20" i="4"/>
  <c r="G21" i="4"/>
  <c r="G22" i="4"/>
  <c r="G23" i="4"/>
  <c r="G24" i="4"/>
  <c r="G26" i="4"/>
  <c r="G27" i="4"/>
  <c r="G28" i="4"/>
  <c r="G29" i="4"/>
  <c r="G30" i="4"/>
  <c r="G32" i="4"/>
  <c r="G33" i="4"/>
  <c r="G34" i="4"/>
  <c r="G6" i="4"/>
  <c r="B62" i="3"/>
  <c r="C62" i="3"/>
  <c r="D62" i="3"/>
  <c r="E62" i="3"/>
  <c r="F62" i="3"/>
  <c r="B63" i="3"/>
  <c r="C63" i="3"/>
  <c r="D63" i="3"/>
  <c r="E63" i="3"/>
  <c r="F63" i="3"/>
  <c r="B64" i="3"/>
  <c r="C64" i="3"/>
  <c r="D64" i="3"/>
  <c r="E64" i="3"/>
  <c r="F64" i="3"/>
  <c r="B65" i="3"/>
  <c r="C65" i="3"/>
  <c r="D65" i="3"/>
  <c r="E65" i="3"/>
  <c r="F65" i="3"/>
  <c r="B66" i="3"/>
  <c r="C66" i="3"/>
  <c r="D66" i="3"/>
  <c r="E66" i="3"/>
  <c r="F66" i="3"/>
  <c r="B67" i="3"/>
  <c r="C67" i="3"/>
  <c r="D67" i="3"/>
  <c r="E67" i="3"/>
  <c r="F67" i="3"/>
  <c r="B68" i="3"/>
  <c r="C68" i="3"/>
  <c r="D68" i="3"/>
  <c r="E68" i="3"/>
  <c r="F68" i="3"/>
  <c r="B69" i="3"/>
  <c r="C69" i="3"/>
  <c r="D69" i="3"/>
  <c r="E69" i="3"/>
  <c r="F69" i="3"/>
  <c r="B70" i="3"/>
  <c r="C70" i="3"/>
  <c r="D70" i="3"/>
  <c r="E70" i="3"/>
  <c r="F70" i="3"/>
  <c r="B71" i="3"/>
  <c r="C71" i="3"/>
  <c r="D71" i="3"/>
  <c r="E71" i="3"/>
  <c r="F71" i="3"/>
  <c r="B72" i="3"/>
  <c r="C72" i="3"/>
  <c r="D72" i="3"/>
  <c r="E72" i="3"/>
  <c r="F72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B78" i="3"/>
  <c r="C78" i="3"/>
  <c r="D78" i="3"/>
  <c r="E78" i="3"/>
  <c r="F78" i="3"/>
  <c r="B79" i="3"/>
  <c r="C79" i="3"/>
  <c r="D79" i="3"/>
  <c r="E79" i="3"/>
  <c r="F79" i="3"/>
  <c r="B80" i="3"/>
  <c r="C80" i="3"/>
  <c r="D80" i="3"/>
  <c r="E80" i="3"/>
  <c r="F80" i="3"/>
  <c r="B81" i="3"/>
  <c r="C81" i="3"/>
  <c r="D81" i="3"/>
  <c r="E81" i="3"/>
  <c r="F81" i="3"/>
  <c r="B82" i="3"/>
  <c r="C82" i="3"/>
  <c r="D82" i="3"/>
  <c r="E82" i="3"/>
  <c r="F82" i="3"/>
  <c r="B83" i="3"/>
  <c r="C83" i="3"/>
  <c r="D83" i="3"/>
  <c r="E83" i="3"/>
  <c r="F83" i="3"/>
  <c r="B84" i="3"/>
  <c r="C84" i="3"/>
  <c r="D84" i="3"/>
  <c r="E84" i="3"/>
  <c r="F84" i="3"/>
  <c r="B85" i="3"/>
  <c r="C85" i="3"/>
  <c r="D85" i="3"/>
  <c r="E85" i="3"/>
  <c r="F85" i="3"/>
  <c r="B86" i="3"/>
  <c r="C86" i="3"/>
  <c r="D86" i="3"/>
  <c r="E86" i="3"/>
  <c r="F86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B36" i="3"/>
  <c r="C36" i="3"/>
  <c r="D36" i="3"/>
  <c r="E36" i="3"/>
  <c r="F36" i="3"/>
  <c r="G36" i="3"/>
  <c r="B37" i="3"/>
  <c r="C37" i="3"/>
  <c r="D37" i="3"/>
  <c r="E37" i="3"/>
  <c r="F37" i="3"/>
  <c r="G37" i="3"/>
  <c r="B38" i="3"/>
  <c r="C38" i="3"/>
  <c r="D38" i="3"/>
  <c r="E38" i="3"/>
  <c r="F38" i="3"/>
  <c r="G38" i="3"/>
  <c r="B39" i="3"/>
  <c r="C39" i="3"/>
  <c r="D39" i="3"/>
  <c r="E39" i="3"/>
  <c r="F39" i="3"/>
  <c r="G39" i="3"/>
  <c r="B40" i="3"/>
  <c r="C40" i="3"/>
  <c r="D40" i="3"/>
  <c r="E40" i="3"/>
  <c r="F40" i="3"/>
  <c r="G40" i="3"/>
  <c r="B41" i="3"/>
  <c r="C41" i="3"/>
  <c r="D41" i="3"/>
  <c r="E41" i="3"/>
  <c r="F41" i="3"/>
  <c r="G41" i="3"/>
  <c r="B42" i="3"/>
  <c r="C42" i="3"/>
  <c r="D42" i="3"/>
  <c r="E42" i="3"/>
  <c r="F42" i="3"/>
  <c r="G42" i="3"/>
  <c r="B43" i="3"/>
  <c r="C43" i="3"/>
  <c r="D43" i="3"/>
  <c r="E43" i="3"/>
  <c r="F43" i="3"/>
  <c r="G43" i="3"/>
  <c r="B44" i="3"/>
  <c r="C44" i="3"/>
  <c r="D44" i="3"/>
  <c r="E44" i="3"/>
  <c r="F44" i="3"/>
  <c r="G44" i="3"/>
  <c r="B45" i="3"/>
  <c r="C45" i="3"/>
  <c r="D45" i="3"/>
  <c r="E45" i="3"/>
  <c r="F45" i="3"/>
  <c r="G45" i="3"/>
  <c r="B46" i="3"/>
  <c r="C46" i="3"/>
  <c r="D46" i="3"/>
  <c r="E46" i="3"/>
  <c r="F46" i="3"/>
  <c r="G46" i="3"/>
  <c r="B47" i="3"/>
  <c r="C47" i="3"/>
  <c r="D47" i="3"/>
  <c r="E47" i="3"/>
  <c r="F47" i="3"/>
  <c r="G47" i="3"/>
  <c r="B48" i="3"/>
  <c r="C48" i="3"/>
  <c r="D48" i="3"/>
  <c r="E48" i="3"/>
  <c r="F48" i="3"/>
  <c r="G48" i="3"/>
  <c r="B49" i="3"/>
  <c r="C49" i="3"/>
  <c r="D49" i="3"/>
  <c r="E49" i="3"/>
  <c r="F49" i="3"/>
  <c r="G49" i="3"/>
  <c r="B50" i="3"/>
  <c r="C50" i="3"/>
  <c r="D50" i="3"/>
  <c r="E50" i="3"/>
  <c r="F50" i="3"/>
  <c r="G50" i="3"/>
  <c r="B51" i="3"/>
  <c r="C51" i="3"/>
  <c r="D51" i="3"/>
  <c r="E51" i="3"/>
  <c r="F51" i="3"/>
  <c r="G51" i="3"/>
  <c r="B52" i="3"/>
  <c r="C52" i="3"/>
  <c r="D52" i="3"/>
  <c r="E52" i="3"/>
  <c r="F52" i="3"/>
  <c r="G52" i="3"/>
  <c r="B53" i="3"/>
  <c r="C53" i="3"/>
  <c r="D53" i="3"/>
  <c r="E53" i="3"/>
  <c r="F53" i="3"/>
  <c r="G53" i="3"/>
  <c r="B54" i="3"/>
  <c r="C54" i="3"/>
  <c r="D54" i="3"/>
  <c r="E54" i="3"/>
  <c r="F54" i="3"/>
  <c r="G54" i="3"/>
  <c r="B55" i="3"/>
  <c r="C55" i="3"/>
  <c r="D55" i="3"/>
  <c r="E55" i="3"/>
  <c r="F55" i="3"/>
  <c r="G55" i="3"/>
  <c r="B56" i="3"/>
  <c r="C56" i="3"/>
  <c r="D56" i="3"/>
  <c r="E56" i="3"/>
  <c r="F56" i="3"/>
  <c r="G56" i="3"/>
  <c r="B57" i="3"/>
  <c r="C57" i="3"/>
  <c r="D57" i="3"/>
  <c r="E57" i="3"/>
  <c r="F57" i="3"/>
  <c r="G57" i="3"/>
  <c r="B58" i="3"/>
  <c r="C58" i="3"/>
  <c r="D58" i="3"/>
  <c r="E58" i="3"/>
  <c r="F58" i="3"/>
  <c r="G58" i="3"/>
  <c r="B7" i="3"/>
  <c r="C7" i="3"/>
  <c r="D7" i="3"/>
  <c r="E7" i="3"/>
  <c r="F7" i="3"/>
  <c r="G7" i="3"/>
  <c r="B8" i="3"/>
  <c r="C8" i="3"/>
  <c r="D8" i="3"/>
  <c r="E8" i="3"/>
  <c r="F8" i="3"/>
  <c r="G8" i="3"/>
  <c r="B11" i="3"/>
  <c r="C11" i="3"/>
  <c r="D11" i="3"/>
  <c r="E11" i="3"/>
  <c r="F11" i="3"/>
  <c r="G11" i="3"/>
  <c r="B12" i="3"/>
  <c r="C12" i="3"/>
  <c r="D12" i="3"/>
  <c r="E12" i="3"/>
  <c r="F12" i="3"/>
  <c r="G12" i="3"/>
  <c r="B13" i="3"/>
  <c r="C13" i="3"/>
  <c r="D13" i="3"/>
  <c r="E13" i="3"/>
  <c r="F13" i="3"/>
  <c r="G13" i="3"/>
  <c r="B14" i="3"/>
  <c r="C14" i="3"/>
  <c r="D14" i="3"/>
  <c r="E14" i="3"/>
  <c r="F14" i="3"/>
  <c r="G14" i="3"/>
  <c r="B15" i="3"/>
  <c r="C15" i="3"/>
  <c r="D15" i="3"/>
  <c r="E15" i="3"/>
  <c r="F15" i="3"/>
  <c r="G15" i="3"/>
  <c r="B16" i="3"/>
  <c r="C16" i="3"/>
  <c r="D16" i="3"/>
  <c r="E16" i="3"/>
  <c r="F16" i="3"/>
  <c r="G16" i="3"/>
  <c r="B17" i="3"/>
  <c r="C17" i="3"/>
  <c r="D17" i="3"/>
  <c r="E17" i="3"/>
  <c r="F17" i="3"/>
  <c r="G17" i="3"/>
  <c r="B18" i="3"/>
  <c r="C18" i="3"/>
  <c r="D18" i="3"/>
  <c r="E18" i="3"/>
  <c r="F18" i="3"/>
  <c r="G18" i="3"/>
  <c r="B19" i="3"/>
  <c r="C19" i="3"/>
  <c r="D19" i="3"/>
  <c r="E19" i="3"/>
  <c r="F19" i="3"/>
  <c r="G19" i="3"/>
  <c r="B20" i="3"/>
  <c r="C20" i="3"/>
  <c r="D20" i="3"/>
  <c r="E20" i="3"/>
  <c r="F20" i="3"/>
  <c r="G20" i="3"/>
  <c r="B21" i="3"/>
  <c r="C21" i="3"/>
  <c r="D21" i="3"/>
  <c r="E21" i="3"/>
  <c r="F21" i="3"/>
  <c r="G21" i="3"/>
  <c r="B22" i="3"/>
  <c r="C22" i="3"/>
  <c r="D22" i="3"/>
  <c r="E22" i="3"/>
  <c r="F22" i="3"/>
  <c r="G22" i="3"/>
  <c r="B23" i="3"/>
  <c r="C23" i="3"/>
  <c r="D23" i="3"/>
  <c r="E23" i="3"/>
  <c r="F23" i="3"/>
  <c r="G23" i="3"/>
  <c r="B24" i="3"/>
  <c r="C24" i="3"/>
  <c r="D24" i="3"/>
  <c r="E24" i="3"/>
  <c r="F24" i="3"/>
  <c r="G24" i="3"/>
  <c r="B25" i="3"/>
  <c r="C25" i="3"/>
  <c r="D25" i="3"/>
  <c r="E25" i="3"/>
  <c r="F25" i="3"/>
  <c r="G25" i="3"/>
  <c r="B26" i="3"/>
  <c r="C26" i="3"/>
  <c r="D26" i="3"/>
  <c r="E26" i="3"/>
  <c r="F26" i="3"/>
  <c r="G26" i="3"/>
  <c r="B27" i="3"/>
  <c r="C27" i="3"/>
  <c r="D27" i="3"/>
  <c r="E27" i="3"/>
  <c r="F27" i="3"/>
  <c r="G27" i="3"/>
  <c r="B28" i="3"/>
  <c r="C28" i="3"/>
  <c r="D28" i="3"/>
  <c r="E28" i="3"/>
  <c r="F28" i="3"/>
  <c r="G28" i="3"/>
  <c r="B29" i="3"/>
  <c r="C29" i="3"/>
  <c r="D29" i="3"/>
  <c r="E29" i="3"/>
  <c r="F29" i="3"/>
  <c r="G29" i="3"/>
  <c r="B30" i="3"/>
  <c r="C30" i="3"/>
  <c r="D30" i="3"/>
  <c r="E30" i="3"/>
  <c r="F30" i="3"/>
  <c r="G30" i="3"/>
  <c r="B6" i="3"/>
  <c r="C6" i="3"/>
  <c r="D6" i="3"/>
  <c r="E6" i="3"/>
  <c r="F6" i="3"/>
  <c r="G6" i="3"/>
  <c r="J66" i="1"/>
  <c r="K66" i="1"/>
  <c r="L66" i="1"/>
  <c r="M66" i="1"/>
  <c r="N66" i="1"/>
  <c r="O66" i="1"/>
  <c r="J67" i="1"/>
  <c r="K67" i="1"/>
  <c r="L67" i="1"/>
  <c r="M67" i="1"/>
  <c r="N67" i="1"/>
  <c r="O67" i="1"/>
  <c r="J68" i="1"/>
  <c r="K68" i="1"/>
  <c r="L68" i="1"/>
  <c r="M68" i="1"/>
  <c r="N68" i="1"/>
  <c r="O68" i="1"/>
  <c r="J69" i="1"/>
  <c r="K69" i="1"/>
  <c r="L69" i="1"/>
  <c r="M69" i="1"/>
  <c r="N69" i="1"/>
  <c r="O69" i="1"/>
  <c r="J72" i="1"/>
  <c r="K72" i="1"/>
  <c r="L72" i="1"/>
  <c r="M72" i="1"/>
  <c r="N72" i="1"/>
  <c r="O72" i="1"/>
  <c r="J74" i="1"/>
  <c r="K74" i="1"/>
  <c r="L74" i="1"/>
  <c r="M74" i="1"/>
  <c r="N74" i="1"/>
  <c r="O74" i="1"/>
  <c r="J75" i="1"/>
  <c r="K75" i="1"/>
  <c r="L75" i="1"/>
  <c r="M75" i="1"/>
  <c r="N75" i="1"/>
  <c r="O75" i="1"/>
  <c r="J76" i="1"/>
  <c r="K76" i="1"/>
  <c r="L76" i="1"/>
  <c r="M76" i="1"/>
  <c r="N76" i="1"/>
  <c r="O76" i="1"/>
  <c r="J77" i="1"/>
  <c r="K77" i="1"/>
  <c r="L77" i="1"/>
  <c r="M77" i="1"/>
  <c r="N77" i="1"/>
  <c r="O77" i="1"/>
  <c r="J78" i="1"/>
  <c r="K78" i="1"/>
  <c r="L78" i="1"/>
  <c r="M78" i="1"/>
  <c r="N78" i="1"/>
  <c r="O78" i="1"/>
  <c r="J79" i="1"/>
  <c r="K79" i="1"/>
  <c r="L79" i="1"/>
  <c r="M79" i="1"/>
  <c r="N79" i="1"/>
  <c r="O79" i="1"/>
  <c r="J82" i="1"/>
  <c r="K82" i="1"/>
  <c r="L82" i="1"/>
  <c r="M82" i="1"/>
  <c r="N82" i="1"/>
  <c r="O82" i="1"/>
  <c r="J85" i="1"/>
  <c r="K85" i="1"/>
  <c r="L85" i="1"/>
  <c r="M85" i="1"/>
  <c r="N85" i="1"/>
  <c r="O85" i="1"/>
  <c r="J86" i="1"/>
  <c r="K86" i="1"/>
  <c r="L86" i="1"/>
  <c r="M86" i="1"/>
  <c r="N86" i="1"/>
  <c r="O86" i="1"/>
  <c r="J87" i="1"/>
  <c r="K87" i="1"/>
  <c r="L87" i="1"/>
  <c r="M87" i="1"/>
  <c r="N87" i="1"/>
  <c r="O87" i="1"/>
  <c r="J88" i="1"/>
  <c r="K88" i="1"/>
  <c r="L88" i="1"/>
  <c r="M88" i="1"/>
  <c r="N88" i="1"/>
  <c r="O88" i="1"/>
  <c r="J89" i="1"/>
  <c r="K89" i="1"/>
  <c r="L89" i="1"/>
  <c r="M89" i="1"/>
  <c r="N89" i="1"/>
  <c r="O89" i="1"/>
  <c r="J90" i="1"/>
  <c r="K90" i="1"/>
  <c r="L90" i="1"/>
  <c r="M90" i="1"/>
  <c r="N90" i="1"/>
  <c r="O90" i="1"/>
  <c r="J92" i="1"/>
  <c r="K92" i="1"/>
  <c r="L92" i="1"/>
  <c r="M92" i="1"/>
  <c r="N92" i="1"/>
  <c r="O92" i="1"/>
  <c r="J93" i="1"/>
  <c r="K93" i="1"/>
  <c r="L93" i="1"/>
  <c r="M93" i="1"/>
  <c r="N93" i="1"/>
  <c r="O93" i="1"/>
  <c r="J65" i="1"/>
  <c r="K65" i="1"/>
  <c r="L65" i="1"/>
  <c r="M65" i="1"/>
  <c r="N65" i="1"/>
  <c r="O65" i="1"/>
  <c r="J43" i="1"/>
  <c r="K43" i="1"/>
  <c r="L43" i="1"/>
  <c r="M43" i="1"/>
  <c r="N43" i="1"/>
  <c r="O43" i="1"/>
  <c r="J44" i="1"/>
  <c r="K44" i="1"/>
  <c r="L44" i="1"/>
  <c r="M44" i="1"/>
  <c r="N44" i="1"/>
  <c r="O44" i="1"/>
  <c r="J48" i="1"/>
  <c r="K48" i="1"/>
  <c r="L48" i="1"/>
  <c r="M48" i="1"/>
  <c r="N48" i="1"/>
  <c r="O48" i="1"/>
  <c r="J49" i="1"/>
  <c r="K49" i="1"/>
  <c r="L49" i="1"/>
  <c r="M49" i="1"/>
  <c r="N49" i="1"/>
  <c r="O49" i="1"/>
  <c r="J50" i="1"/>
  <c r="K50" i="1"/>
  <c r="L50" i="1"/>
  <c r="M50" i="1"/>
  <c r="N50" i="1"/>
  <c r="O50" i="1"/>
  <c r="J53" i="1"/>
  <c r="K53" i="1"/>
  <c r="L53" i="1"/>
  <c r="M53" i="1"/>
  <c r="N53" i="1"/>
  <c r="O53" i="1"/>
  <c r="J54" i="1"/>
  <c r="K54" i="1"/>
  <c r="L54" i="1"/>
  <c r="M54" i="1"/>
  <c r="N54" i="1"/>
  <c r="O54" i="1"/>
  <c r="J55" i="1"/>
  <c r="K55" i="1"/>
  <c r="L55" i="1"/>
  <c r="M55" i="1"/>
  <c r="N55" i="1"/>
  <c r="O55" i="1"/>
  <c r="J56" i="1"/>
  <c r="K56" i="1"/>
  <c r="L56" i="1"/>
  <c r="M56" i="1"/>
  <c r="N56" i="1"/>
  <c r="O56" i="1"/>
  <c r="J57" i="1"/>
  <c r="K57" i="1"/>
  <c r="L57" i="1"/>
  <c r="M57" i="1"/>
  <c r="N57" i="1"/>
  <c r="O57" i="1"/>
  <c r="J58" i="1"/>
  <c r="K58" i="1"/>
  <c r="L58" i="1"/>
  <c r="M58" i="1"/>
  <c r="N58" i="1"/>
  <c r="O58" i="1"/>
  <c r="J59" i="1"/>
  <c r="K59" i="1"/>
  <c r="L59" i="1"/>
  <c r="M59" i="1"/>
  <c r="N59" i="1"/>
  <c r="O59" i="1"/>
  <c r="J60" i="1"/>
  <c r="K60" i="1"/>
  <c r="L60" i="1"/>
  <c r="M60" i="1"/>
  <c r="N60" i="1"/>
  <c r="O60" i="1"/>
  <c r="J61" i="1"/>
  <c r="K61" i="1"/>
  <c r="L61" i="1"/>
  <c r="M61" i="1"/>
  <c r="N61" i="1"/>
  <c r="O61" i="1"/>
  <c r="J62" i="1"/>
  <c r="K62" i="1"/>
  <c r="L62" i="1"/>
  <c r="M62" i="1"/>
  <c r="N62" i="1"/>
  <c r="O62" i="1"/>
  <c r="J40" i="1"/>
  <c r="K40" i="1"/>
  <c r="L40" i="1"/>
  <c r="M40" i="1"/>
  <c r="N40" i="1"/>
  <c r="O40" i="1"/>
  <c r="O7" i="1"/>
  <c r="O8" i="1"/>
  <c r="O11" i="1"/>
  <c r="O12" i="1"/>
  <c r="O13" i="1"/>
  <c r="O14" i="1"/>
  <c r="O15" i="1"/>
  <c r="O16" i="1"/>
  <c r="O17" i="1"/>
  <c r="O18" i="1"/>
  <c r="O20" i="1"/>
  <c r="O21" i="1"/>
  <c r="O22" i="1"/>
  <c r="O23" i="1"/>
  <c r="O24" i="1"/>
  <c r="O26" i="1"/>
  <c r="O27" i="1"/>
  <c r="O28" i="1"/>
  <c r="O29" i="1"/>
  <c r="O30" i="1"/>
  <c r="O32" i="1"/>
  <c r="J7" i="1"/>
  <c r="K7" i="1"/>
  <c r="L7" i="1"/>
  <c r="M7" i="1"/>
  <c r="N7" i="1"/>
  <c r="J8" i="1"/>
  <c r="K8" i="1"/>
  <c r="L8" i="1"/>
  <c r="M8" i="1"/>
  <c r="N8" i="1"/>
  <c r="J11" i="1"/>
  <c r="K11" i="1"/>
  <c r="L11" i="1"/>
  <c r="M11" i="1"/>
  <c r="N11" i="1"/>
  <c r="J12" i="1"/>
  <c r="K12" i="1"/>
  <c r="L12" i="1"/>
  <c r="M12" i="1"/>
  <c r="N12" i="1"/>
  <c r="J13" i="1"/>
  <c r="K13" i="1"/>
  <c r="L13" i="1"/>
  <c r="M13" i="1"/>
  <c r="N13" i="1"/>
  <c r="J14" i="1"/>
  <c r="K14" i="1"/>
  <c r="L14" i="1"/>
  <c r="M14" i="1"/>
  <c r="N14" i="1"/>
  <c r="J15" i="1"/>
  <c r="K15" i="1"/>
  <c r="L15" i="1"/>
  <c r="M15" i="1"/>
  <c r="N15" i="1"/>
  <c r="J16" i="1"/>
  <c r="K16" i="1"/>
  <c r="L16" i="1"/>
  <c r="M16" i="1"/>
  <c r="N16" i="1"/>
  <c r="J17" i="1"/>
  <c r="K17" i="1"/>
  <c r="L17" i="1"/>
  <c r="M17" i="1"/>
  <c r="N17" i="1"/>
  <c r="J18" i="1"/>
  <c r="K18" i="1"/>
  <c r="L18" i="1"/>
  <c r="M18" i="1"/>
  <c r="N18" i="1"/>
  <c r="J20" i="1"/>
  <c r="K20" i="1"/>
  <c r="L20" i="1"/>
  <c r="M20" i="1"/>
  <c r="N20" i="1"/>
  <c r="J21" i="1"/>
  <c r="K21" i="1"/>
  <c r="L21" i="1"/>
  <c r="M21" i="1"/>
  <c r="N21" i="1"/>
  <c r="J22" i="1"/>
  <c r="K22" i="1"/>
  <c r="L22" i="1"/>
  <c r="M22" i="1"/>
  <c r="N22" i="1"/>
  <c r="J23" i="1"/>
  <c r="K23" i="1"/>
  <c r="L23" i="1"/>
  <c r="M23" i="1"/>
  <c r="N23" i="1"/>
  <c r="J24" i="1"/>
  <c r="K24" i="1"/>
  <c r="L24" i="1"/>
  <c r="M24" i="1"/>
  <c r="N24" i="1"/>
  <c r="J26" i="1"/>
  <c r="K26" i="1"/>
  <c r="L26" i="1"/>
  <c r="M26" i="1"/>
  <c r="N26" i="1"/>
  <c r="J27" i="1"/>
  <c r="K27" i="1"/>
  <c r="L27" i="1"/>
  <c r="M27" i="1"/>
  <c r="N27" i="1"/>
  <c r="J28" i="1"/>
  <c r="K28" i="1"/>
  <c r="L28" i="1"/>
  <c r="M28" i="1"/>
  <c r="N28" i="1"/>
  <c r="J29" i="1"/>
  <c r="K29" i="1"/>
  <c r="L29" i="1"/>
  <c r="M29" i="1"/>
  <c r="N29" i="1"/>
  <c r="J30" i="1"/>
  <c r="K30" i="1"/>
  <c r="L30" i="1"/>
  <c r="M30" i="1"/>
  <c r="N30" i="1"/>
  <c r="J32" i="1"/>
  <c r="K32" i="1"/>
  <c r="L32" i="1"/>
  <c r="M32" i="1"/>
  <c r="N32" i="1"/>
  <c r="J6" i="1"/>
  <c r="K6" i="1"/>
  <c r="L6" i="1"/>
  <c r="M6" i="1"/>
  <c r="N6" i="1"/>
  <c r="O6" i="1"/>
  <c r="F62" i="5"/>
  <c r="E62" i="5"/>
  <c r="D62" i="5"/>
  <c r="C62" i="5"/>
  <c r="B62" i="5"/>
  <c r="F50" i="5"/>
  <c r="E50" i="5"/>
  <c r="D50" i="5"/>
  <c r="C50" i="5"/>
  <c r="B50" i="5"/>
  <c r="F30" i="5"/>
  <c r="F117" i="1" s="1"/>
  <c r="E30" i="5"/>
  <c r="E117" i="1" s="1"/>
  <c r="D30" i="5"/>
  <c r="D117" i="1" s="1"/>
  <c r="C30" i="5"/>
  <c r="C117" i="1" s="1"/>
  <c r="B30" i="5"/>
  <c r="B117" i="1" s="1"/>
  <c r="E14" i="2"/>
  <c r="D14" i="2"/>
  <c r="C14" i="2"/>
  <c r="B14" i="2"/>
  <c r="A14" i="2"/>
  <c r="E4" i="2"/>
  <c r="E16" i="2" s="1"/>
  <c r="E18" i="2" s="1"/>
  <c r="E20" i="2" s="1"/>
  <c r="E22" i="2" s="1"/>
  <c r="E24" i="2" s="1"/>
  <c r="D4" i="2"/>
  <c r="D16" i="2" s="1"/>
  <c r="D18" i="2" s="1"/>
  <c r="D20" i="2" s="1"/>
  <c r="D22" i="2" s="1"/>
  <c r="D24" i="2" s="1"/>
  <c r="C4" i="2"/>
  <c r="C16" i="2" s="1"/>
  <c r="C18" i="2" s="1"/>
  <c r="C20" i="2" s="1"/>
  <c r="C22" i="2" s="1"/>
  <c r="C24" i="2" s="1"/>
  <c r="B4" i="2"/>
  <c r="B16" i="2" s="1"/>
  <c r="B18" i="2" s="1"/>
  <c r="B20" i="2" s="1"/>
  <c r="B22" i="2" s="1"/>
  <c r="B24" i="2" s="1"/>
  <c r="A4" i="2"/>
  <c r="A16" i="2" s="1"/>
  <c r="A18" i="2" s="1"/>
  <c r="A20" i="2" s="1"/>
  <c r="A22" i="2" s="1"/>
  <c r="A24" i="2" s="1"/>
  <c r="F144" i="1"/>
  <c r="E144" i="1"/>
  <c r="D144" i="1"/>
  <c r="C144" i="1"/>
  <c r="B144" i="1"/>
  <c r="F134" i="1"/>
  <c r="E134" i="1"/>
  <c r="D134" i="1"/>
  <c r="C134" i="1"/>
  <c r="B134" i="1"/>
  <c r="F99" i="1"/>
  <c r="F123" i="1" s="1"/>
  <c r="F126" i="1" s="1"/>
  <c r="E99" i="1"/>
  <c r="E123" i="1" s="1"/>
  <c r="E126" i="1" s="1"/>
  <c r="D99" i="1"/>
  <c r="D123" i="1" s="1"/>
  <c r="D126" i="1" s="1"/>
  <c r="C99" i="1"/>
  <c r="C123" i="1" s="1"/>
  <c r="C126" i="1" s="1"/>
  <c r="B99" i="1"/>
  <c r="B123" i="1" s="1"/>
  <c r="B126" i="1" s="1"/>
  <c r="F98" i="1"/>
  <c r="F121" i="1" s="1"/>
  <c r="F124" i="1" s="1"/>
  <c r="E98" i="1"/>
  <c r="E121" i="1" s="1"/>
  <c r="E124" i="1" s="1"/>
  <c r="D98" i="1"/>
  <c r="D121" i="1" s="1"/>
  <c r="D124" i="1" s="1"/>
  <c r="D127" i="1" s="1"/>
  <c r="C98" i="1"/>
  <c r="C121" i="1" s="1"/>
  <c r="C124" i="1" s="1"/>
  <c r="C127" i="1" s="1"/>
  <c r="B98" i="1"/>
  <c r="B121" i="1" s="1"/>
  <c r="B124" i="1" s="1"/>
  <c r="B127" i="1" s="1"/>
  <c r="F97" i="1"/>
  <c r="F122" i="1" s="1"/>
  <c r="F125" i="1" s="1"/>
  <c r="E97" i="1"/>
  <c r="E122" i="1" s="1"/>
  <c r="E125" i="1" s="1"/>
  <c r="D97" i="1"/>
  <c r="D122" i="1" s="1"/>
  <c r="D125" i="1" s="1"/>
  <c r="C97" i="1"/>
  <c r="C122" i="1" s="1"/>
  <c r="C125" i="1" s="1"/>
  <c r="B97" i="1"/>
  <c r="B122" i="1" s="1"/>
  <c r="B125" i="1" s="1"/>
  <c r="G93" i="1"/>
  <c r="G92" i="1"/>
  <c r="F92" i="1"/>
  <c r="E92" i="1"/>
  <c r="D92" i="1"/>
  <c r="C92" i="1"/>
  <c r="B92" i="1"/>
  <c r="G79" i="1"/>
  <c r="F79" i="1"/>
  <c r="E79" i="1"/>
  <c r="D79" i="1"/>
  <c r="C79" i="1"/>
  <c r="B79" i="1"/>
  <c r="G61" i="1"/>
  <c r="F61" i="1"/>
  <c r="E61" i="1"/>
  <c r="D61" i="1"/>
  <c r="C61" i="1"/>
  <c r="B61" i="1"/>
  <c r="G50" i="1"/>
  <c r="F50" i="1"/>
  <c r="E50" i="1"/>
  <c r="D50" i="1"/>
  <c r="C50" i="1"/>
  <c r="B50" i="1"/>
  <c r="G44" i="1"/>
  <c r="G62" i="1" s="1"/>
  <c r="F44" i="1"/>
  <c r="E44" i="1"/>
  <c r="D44" i="1"/>
  <c r="C44" i="1"/>
  <c r="B44" i="1"/>
  <c r="G18" i="1"/>
  <c r="F18" i="1"/>
  <c r="E18" i="1"/>
  <c r="D18" i="1"/>
  <c r="C18" i="1"/>
  <c r="B18" i="1"/>
  <c r="G8" i="1"/>
  <c r="G20" i="1" s="1"/>
  <c r="G22" i="1" s="1"/>
  <c r="G24" i="1" s="1"/>
  <c r="G26" i="1" s="1"/>
  <c r="G28" i="1" s="1"/>
  <c r="F8" i="1"/>
  <c r="E8" i="1"/>
  <c r="D8" i="1"/>
  <c r="C8" i="1"/>
  <c r="B8" i="1"/>
  <c r="E26" i="2" l="1"/>
  <c r="E28" i="2" s="1"/>
  <c r="E30" i="2"/>
  <c r="D26" i="2"/>
  <c r="D28" i="2" s="1"/>
  <c r="D30" i="2"/>
  <c r="C26" i="2"/>
  <c r="C28" i="2" s="1"/>
  <c r="C30" i="2"/>
  <c r="B26" i="2"/>
  <c r="B28" i="2" s="1"/>
  <c r="B30" i="2"/>
  <c r="A26" i="2"/>
  <c r="A28" i="2" s="1"/>
  <c r="A30" i="2"/>
  <c r="F108" i="1"/>
  <c r="F107" i="1"/>
  <c r="F101" i="1"/>
  <c r="F102" i="1" s="1"/>
  <c r="F128" i="1" s="1"/>
  <c r="E101" i="1"/>
  <c r="E102" i="1" s="1"/>
  <c r="E128" i="1" s="1"/>
  <c r="E107" i="1"/>
  <c r="E108" i="1"/>
  <c r="D101" i="1"/>
  <c r="D102" i="1" s="1"/>
  <c r="D128" i="1" s="1"/>
  <c r="D108" i="1"/>
  <c r="D107" i="1"/>
  <c r="C101" i="1"/>
  <c r="C108" i="1"/>
  <c r="C107" i="1"/>
  <c r="B108" i="1"/>
  <c r="B107" i="1"/>
  <c r="B101" i="1"/>
  <c r="B102" i="1" s="1"/>
  <c r="B128" i="1" s="1"/>
  <c r="F129" i="1"/>
  <c r="F93" i="1"/>
  <c r="E129" i="1"/>
  <c r="E93" i="1"/>
  <c r="D129" i="1"/>
  <c r="D93" i="1"/>
  <c r="C93" i="1"/>
  <c r="C129" i="1"/>
  <c r="B129" i="1"/>
  <c r="B93" i="1"/>
  <c r="F109" i="1"/>
  <c r="E109" i="1"/>
  <c r="D114" i="1"/>
  <c r="D109" i="1"/>
  <c r="C109" i="1"/>
  <c r="B109" i="1"/>
  <c r="D113" i="1"/>
  <c r="C113" i="1"/>
  <c r="B113" i="1"/>
  <c r="F103" i="1"/>
  <c r="F62" i="1"/>
  <c r="E103" i="1"/>
  <c r="E62" i="1"/>
  <c r="D62" i="1"/>
  <c r="D103" i="1"/>
  <c r="D142" i="1" s="1"/>
  <c r="C62" i="1"/>
  <c r="C103" i="1"/>
  <c r="B62" i="1"/>
  <c r="B103" i="1"/>
  <c r="G30" i="1"/>
  <c r="G32" i="1" s="1"/>
  <c r="G34" i="1"/>
  <c r="F20" i="1"/>
  <c r="E20" i="1"/>
  <c r="D20" i="1"/>
  <c r="C20" i="1"/>
  <c r="B20" i="1"/>
  <c r="E127" i="1"/>
  <c r="F127" i="1"/>
  <c r="F100" i="1" l="1"/>
  <c r="E100" i="1"/>
  <c r="D100" i="1"/>
  <c r="C100" i="1"/>
  <c r="B100" i="1"/>
  <c r="F22" i="1"/>
  <c r="E22" i="1"/>
  <c r="D22" i="1"/>
  <c r="C22" i="1"/>
  <c r="B22" i="1"/>
  <c r="C102" i="1"/>
  <c r="C128" i="1" s="1"/>
  <c r="F142" i="1"/>
  <c r="F114" i="1"/>
  <c r="F113" i="1"/>
  <c r="E142" i="1"/>
  <c r="E114" i="1"/>
  <c r="E113" i="1"/>
  <c r="C142" i="1"/>
  <c r="C114" i="1"/>
  <c r="B142" i="1"/>
  <c r="B114" i="1"/>
  <c r="F112" i="1" l="1"/>
  <c r="F130" i="1"/>
  <c r="F143" i="1"/>
  <c r="E112" i="1"/>
  <c r="E130" i="1"/>
  <c r="E143" i="1"/>
  <c r="D112" i="1"/>
  <c r="D143" i="1"/>
  <c r="D130" i="1"/>
  <c r="C112" i="1"/>
  <c r="C130" i="1"/>
  <c r="C143" i="1"/>
  <c r="B112" i="1"/>
  <c r="B143" i="1"/>
  <c r="B130" i="1"/>
  <c r="F24" i="1"/>
  <c r="F118" i="1"/>
  <c r="E24" i="1"/>
  <c r="E118" i="1"/>
  <c r="D24" i="1"/>
  <c r="D118" i="1"/>
  <c r="C24" i="1"/>
  <c r="C118" i="1"/>
  <c r="B24" i="1"/>
  <c r="B118" i="1"/>
  <c r="F26" i="1" l="1"/>
  <c r="E26" i="1"/>
  <c r="D26" i="1"/>
  <c r="C26" i="1"/>
  <c r="B26" i="1"/>
  <c r="F28" i="1" l="1"/>
  <c r="E28" i="1"/>
  <c r="D28" i="1"/>
  <c r="C28" i="1"/>
  <c r="B28" i="1"/>
  <c r="F30" i="1" l="1"/>
  <c r="F34" i="1"/>
  <c r="E30" i="1"/>
  <c r="E34" i="1"/>
  <c r="D30" i="1"/>
  <c r="D34" i="1"/>
  <c r="C30" i="1"/>
  <c r="C34" i="1"/>
  <c r="B30" i="1"/>
  <c r="B34" i="1"/>
  <c r="F32" i="1" l="1"/>
  <c r="F136" i="1"/>
  <c r="F133" i="1"/>
  <c r="F135" i="1"/>
  <c r="E32" i="1"/>
  <c r="E135" i="1"/>
  <c r="E133" i="1"/>
  <c r="E136" i="1"/>
  <c r="D32" i="1"/>
  <c r="D133" i="1"/>
  <c r="D136" i="1"/>
  <c r="D135" i="1"/>
  <c r="C32" i="1"/>
  <c r="C135" i="1"/>
  <c r="C136" i="1"/>
  <c r="C133" i="1"/>
  <c r="B32" i="1"/>
  <c r="B133" i="1"/>
  <c r="B135" i="1"/>
  <c r="B136" i="1"/>
  <c r="F137" i="1" l="1"/>
  <c r="F138" i="1"/>
  <c r="F139" i="1" s="1"/>
  <c r="E138" i="1"/>
  <c r="E139" i="1" s="1"/>
  <c r="E137" i="1"/>
  <c r="D137" i="1"/>
  <c r="D138" i="1"/>
  <c r="D139" i="1" s="1"/>
  <c r="C137" i="1"/>
  <c r="C138" i="1"/>
  <c r="C139" i="1" s="1"/>
  <c r="B138" i="1"/>
  <c r="B139" i="1" s="1"/>
  <c r="B137" i="1"/>
</calcChain>
</file>

<file path=xl/sharedStrings.xml><?xml version="1.0" encoding="utf-8"?>
<sst xmlns="http://schemas.openxmlformats.org/spreadsheetml/2006/main" count="688" uniqueCount="419">
  <si>
    <t>Financial Statements of Diageo Ltd.</t>
  </si>
  <si>
    <t>Trend Analysis</t>
  </si>
  <si>
    <t>Income Statement</t>
  </si>
  <si>
    <t>Particulars (Amount in Crores of INR)</t>
  </si>
  <si>
    <t>Particulars</t>
  </si>
  <si>
    <t>Revenue from Operations</t>
  </si>
  <si>
    <t>Other Income</t>
  </si>
  <si>
    <t>Total Income</t>
  </si>
  <si>
    <t>Expenses</t>
  </si>
  <si>
    <t>Cost of materials consumed</t>
  </si>
  <si>
    <t>Raw Material</t>
  </si>
  <si>
    <t>Purchase of stock-in-trade</t>
  </si>
  <si>
    <t>Excise Duty</t>
  </si>
  <si>
    <t>Change in inventories of finished goods, work-in-progress and stock-in-trade</t>
  </si>
  <si>
    <t>Employee Costs</t>
  </si>
  <si>
    <t>Excise duty</t>
  </si>
  <si>
    <t>Other Expenses</t>
  </si>
  <si>
    <t>Employee benefits expense</t>
  </si>
  <si>
    <t>Total Expenses</t>
  </si>
  <si>
    <t>Advertisement and sales promotion</t>
  </si>
  <si>
    <t xml:space="preserve">Other expenses </t>
  </si>
  <si>
    <t>Total expenses</t>
  </si>
  <si>
    <t>EBITDA</t>
  </si>
  <si>
    <t xml:space="preserve">Depreciation and amortisation expense </t>
  </si>
  <si>
    <t>Depreciation &amp; Amortization</t>
  </si>
  <si>
    <t>EBIT</t>
  </si>
  <si>
    <t xml:space="preserve">Finance costs </t>
  </si>
  <si>
    <t>Finance Expenses</t>
  </si>
  <si>
    <t>PBT before profits of JVs</t>
  </si>
  <si>
    <t>Add: Share of Profits of JVs</t>
  </si>
  <si>
    <t>PBT &amp; Exceptional Items</t>
  </si>
  <si>
    <t>Exceptional Items</t>
  </si>
  <si>
    <t>PBT</t>
  </si>
  <si>
    <t>Tax</t>
  </si>
  <si>
    <t>PAT</t>
  </si>
  <si>
    <t>Less: Share of Minority Interest</t>
  </si>
  <si>
    <t>PAT for Equity Shareholders</t>
  </si>
  <si>
    <t>Dividend</t>
  </si>
  <si>
    <t>Tax Rate (%)</t>
  </si>
  <si>
    <t>Balance Sheet</t>
  </si>
  <si>
    <t>Equity &amp; Liabilities</t>
  </si>
  <si>
    <t>Share capital</t>
  </si>
  <si>
    <t>Share suspense</t>
  </si>
  <si>
    <t>Other equity</t>
  </si>
  <si>
    <t>Reserves and surplus</t>
  </si>
  <si>
    <t>Total Equity</t>
  </si>
  <si>
    <t>Non-Current Liabilities</t>
  </si>
  <si>
    <t xml:space="preserve">  Borrowings</t>
  </si>
  <si>
    <t xml:space="preserve">  Lease liabilities</t>
  </si>
  <si>
    <t>Provisions</t>
  </si>
  <si>
    <t>Total Non-Current Liabilities</t>
  </si>
  <si>
    <t>Current Liabilities</t>
  </si>
  <si>
    <t xml:space="preserve">  Trade payables - MSME</t>
  </si>
  <si>
    <t xml:space="preserve">  Trade payables - other creditors</t>
  </si>
  <si>
    <t xml:space="preserve">  Other financial liabilities</t>
  </si>
  <si>
    <t>Current tax liabilities (net)</t>
  </si>
  <si>
    <t>Other current liabilities</t>
  </si>
  <si>
    <t>Total Current Liabilities</t>
  </si>
  <si>
    <t>TOTAL EQUITIES &amp; LIABILITIES</t>
  </si>
  <si>
    <t>Assets</t>
  </si>
  <si>
    <t>Non-Current Assets</t>
  </si>
  <si>
    <t>Property, plant and equipment</t>
  </si>
  <si>
    <t>Right-of-use assets</t>
  </si>
  <si>
    <t>Capital work-in-progress</t>
  </si>
  <si>
    <t>Intangible assets</t>
  </si>
  <si>
    <t>Intangible assets under development</t>
  </si>
  <si>
    <t>Investment property</t>
  </si>
  <si>
    <t>Financial assets</t>
  </si>
  <si>
    <t xml:space="preserve">  Investments in subsidiaries and associate/joint ventures</t>
  </si>
  <si>
    <t>Intangible Assets</t>
  </si>
  <si>
    <t xml:space="preserve">  Trade receivables</t>
  </si>
  <si>
    <t xml:space="preserve">  Loans</t>
  </si>
  <si>
    <t xml:space="preserve">  Other financial assets</t>
  </si>
  <si>
    <t>Deferred tax assets (net)</t>
  </si>
  <si>
    <t>Current tax assets (net) (Non-current)</t>
  </si>
  <si>
    <t>Other non-current assets</t>
  </si>
  <si>
    <t>Total Non-Current Assets</t>
  </si>
  <si>
    <t>Current Assets</t>
  </si>
  <si>
    <t>Inventories</t>
  </si>
  <si>
    <t xml:space="preserve">  Investments</t>
  </si>
  <si>
    <t xml:space="preserve">  Cash and cash equivalents</t>
  </si>
  <si>
    <t xml:space="preserve">  Bank balances other than cash and cash equivalents</t>
  </si>
  <si>
    <t>Other current assets</t>
  </si>
  <si>
    <t>Assets classified as held for sale</t>
  </si>
  <si>
    <t>Total Current Assets</t>
  </si>
  <si>
    <t>TOTAL ASSETS</t>
  </si>
  <si>
    <t>Avg. receivables</t>
  </si>
  <si>
    <t>Avg. inventory</t>
  </si>
  <si>
    <t>Avg. payables</t>
  </si>
  <si>
    <t>Avg. Total assets</t>
  </si>
  <si>
    <t>Working Capital</t>
  </si>
  <si>
    <t>Avg. Working Capital</t>
  </si>
  <si>
    <t>Avg. Shareholder's Equity</t>
  </si>
  <si>
    <t>Ratios</t>
  </si>
  <si>
    <t>Liquidity Measures</t>
  </si>
  <si>
    <t>Current Ratio (CA/CL)</t>
  </si>
  <si>
    <t>Quick Ratio (CA-Invent.-Prepaid Exp/CL)</t>
  </si>
  <si>
    <t>Cash Ratio (Cash and equivalents/CL)</t>
  </si>
  <si>
    <t>Leverage Measures</t>
  </si>
  <si>
    <t>Total Debt  to Total Assets [(CL+LTD+OL)/Avg. TA]</t>
  </si>
  <si>
    <t>Long term Debt to Equity Ratio (LTD+OL)/Avg. SE)</t>
  </si>
  <si>
    <t>Total Debt to Equity Ratio [(CL+LTD+OL)/Avg. SE]</t>
  </si>
  <si>
    <t>Interest Coverage Measures</t>
  </si>
  <si>
    <t>Cash coverage (Cash from Operations/Int. Exp.)</t>
  </si>
  <si>
    <t>Interest coverage (EBIT/Interest Exp.)</t>
  </si>
  <si>
    <t>Activity Ratios</t>
  </si>
  <si>
    <t>Inventory Turnover [COGS (RM+Excise duty)]/Avg. Inventory)</t>
  </si>
  <si>
    <t>Receivables Turnover (Sales / Avg. Receivables)</t>
  </si>
  <si>
    <t>Payable Turnover (RM+Excise Duty) / Avg. Ac Payables)</t>
  </si>
  <si>
    <t>Days Inventory Outstanding [Avg. Inventory / COGS/365] or 365/ Inventory turnover</t>
  </si>
  <si>
    <t>Days Receivables Outstanding [Avg. Ac Receivables / Sales/365] or 365 / Receivable Turnover</t>
  </si>
  <si>
    <t>Days Payable Outstanding [Avg. Payables/(RM+Excise D)/365] or 365 / Payable Turnover</t>
  </si>
  <si>
    <t>Cash Conversion Cycle [Days Invent + Days Receiv. - Days Payable]</t>
  </si>
  <si>
    <t>Working Capital Turnover (Sales / Avg. WC)</t>
  </si>
  <si>
    <t>Fixed Asset Turnover (Sales/Total Non-Current Assets)</t>
  </si>
  <si>
    <t>Total Asset Turnover (Sales/Avg. TA)</t>
  </si>
  <si>
    <t>Profitablity Ratios</t>
  </si>
  <si>
    <t>Net Profit Margin  (PAT/Sales)</t>
  </si>
  <si>
    <t>Gross Profit Margin (Sales - RM-Excise duty)/Sales</t>
  </si>
  <si>
    <t>Return On Total Assets                                                                      [PAT + Int. Exp. (1-tax rate)]/Total Average Assets</t>
  </si>
  <si>
    <t>Return On Equity [PAT/Avg. SE]</t>
  </si>
  <si>
    <t>Dividend Payout Ratio (Dividend paid/PAT for SE)</t>
  </si>
  <si>
    <t>EPS (PAT / No. of Shares outstanding) 199,811,941 Shares in 2022</t>
  </si>
  <si>
    <t>PE (Market Price per share / EPS)  Market price = 2964</t>
  </si>
  <si>
    <t>Cash Performance Ratios</t>
  </si>
  <si>
    <t>Cash Return On Equity (Cash from operations/Avg. SE)</t>
  </si>
  <si>
    <t>Cash Return On Assets (Cash from operations/Avg. TA)</t>
  </si>
  <si>
    <t>Cash Return  To Revenue (Cash from operations/Sales)</t>
  </si>
  <si>
    <t>Common Size statement</t>
  </si>
  <si>
    <t>Other Financial Liabilities</t>
  </si>
  <si>
    <t>Other Current Liabilities</t>
  </si>
  <si>
    <t>Other Non-Current Assets</t>
  </si>
  <si>
    <t>Other Current Assets</t>
  </si>
  <si>
    <t>Comparative Financial Statements (YoY)</t>
  </si>
  <si>
    <t>Comparative Income Statement</t>
  </si>
  <si>
    <t>Comparative Balance Sheet</t>
  </si>
  <si>
    <t>Cash Flow Statement</t>
  </si>
  <si>
    <t>Cash Flow from Operating Activities</t>
  </si>
  <si>
    <t>March 31, 2026</t>
  </si>
  <si>
    <t>March 31, 2025</t>
  </si>
  <si>
    <t>March 31, 2024</t>
  </si>
  <si>
    <t>March 31, 2023</t>
  </si>
  <si>
    <t>March 31, 2022</t>
  </si>
  <si>
    <t>Depreciation and amortisation expense</t>
  </si>
  <si>
    <t>Employee share-based payment expense</t>
  </si>
  <si>
    <t>Loss allowance on trade receivables, other assets and other financial assets (net)</t>
  </si>
  <si>
    <t>Provision on doubtful other assets</t>
  </si>
  <si>
    <t>Profit on redemption/sale of investments</t>
  </si>
  <si>
    <t>Increase in fair value of investments</t>
  </si>
  <si>
    <t>Finance costs</t>
  </si>
  <si>
    <t>Dividend income from a subsidiary</t>
  </si>
  <si>
    <t>Gain on disposal of property, plant and equipment (net)</t>
  </si>
  <si>
    <t>Interest income</t>
  </si>
  <si>
    <t>Interest on direct and indirect tax refund</t>
  </si>
  <si>
    <t>Interest income from loan to subsidiary and joint venture</t>
  </si>
  <si>
    <t>Exceptional items (net)</t>
  </si>
  <si>
    <t>Exchange gain/(loss) on translation of foreign currency monetary assets and liabilities</t>
  </si>
  <si>
    <t>Operating profit before changes in working capital</t>
  </si>
  <si>
    <t>(Increase) / decrease in trade receivables</t>
  </si>
  <si>
    <t>(Increase) / decrease in loans and other financial assets</t>
  </si>
  <si>
    <t>(Increase) / decrease in other assets</t>
  </si>
  <si>
    <t>(Increase) / decrease in inventories</t>
  </si>
  <si>
    <t>Increase / (decrease) in trade payables</t>
  </si>
  <si>
    <t>Increase / (decrease) in other financial liabilities</t>
  </si>
  <si>
    <t>Increase / (decrease) in other liabilities</t>
  </si>
  <si>
    <t>Increase / (decrease) in provisions</t>
  </si>
  <si>
    <t>Cash generated from operations</t>
  </si>
  <si>
    <t>Income taxes paid (net of refunds)</t>
  </si>
  <si>
    <t>Net cash from operating activities</t>
  </si>
  <si>
    <t>Cash Flow from Investing Activities</t>
  </si>
  <si>
    <t>Purchase of property, plant and equipment and intangible assets</t>
  </si>
  <si>
    <t>Proceeds from sale of property, plant and equipment and investment property</t>
  </si>
  <si>
    <t>Purchase of current investments</t>
  </si>
  <si>
    <t>Redemption of current investments</t>
  </si>
  <si>
    <t>Investment in term deposits with banks</t>
  </si>
  <si>
    <t>Redemption of term deposits from banks</t>
  </si>
  <si>
    <t>Investment in an associate/subsidiary/joint ventures</t>
  </si>
  <si>
    <t>Loans given to subsidiaries and joint ventures</t>
  </si>
  <si>
    <t>Repayment of loans by subsidiary and joint venture</t>
  </si>
  <si>
    <t>Repayment of loans given to others</t>
  </si>
  <si>
    <t>Loans given to others</t>
  </si>
  <si>
    <t>Interest received</t>
  </si>
  <si>
    <t>Dividend received</t>
  </si>
  <si>
    <t>Proceeds from sale of a business undertaking</t>
  </si>
  <si>
    <t>Proceeds from sale of a subsidiary</t>
  </si>
  <si>
    <t>Remittance upon liquidation of a subsidiary</t>
  </si>
  <si>
    <t>Proceeds from disposal of investment in an associate</t>
  </si>
  <si>
    <t>Cash Flow from Financing Activities</t>
  </si>
  <si>
    <t>Net proceeds / (repayment) of working capital loans</t>
  </si>
  <si>
    <t>Repayment of deferred sales tax liability</t>
  </si>
  <si>
    <t>Interest paid on borrowings</t>
  </si>
  <si>
    <t>Dividend paid</t>
  </si>
  <si>
    <t>Principal repayment of lease liabilities</t>
  </si>
  <si>
    <t>Interest paid on lease liabilities</t>
  </si>
  <si>
    <t>Net cash (used) in financing activities</t>
  </si>
  <si>
    <t>Net increase / (decrease) in cash and cash equivalents [D = A+B+C]</t>
  </si>
  <si>
    <t>Cash and cash equivalents as at the beginning of the year (E)</t>
  </si>
  <si>
    <t>Cash and cash equivalents taken over on account of amalgamation</t>
  </si>
  <si>
    <t>Effects of exchange rate changes on cash and cash equivalents</t>
  </si>
  <si>
    <t>Net increase / (decrease) in cash and cash equivalents</t>
  </si>
  <si>
    <t>Cash and cash equivalents as at the end of the year [D+E]</t>
  </si>
  <si>
    <t>Non-cash financing and investing activities</t>
  </si>
  <si>
    <t>Acquisition of right-of-use assets</t>
  </si>
  <si>
    <t>Promoter Group</t>
  </si>
  <si>
    <t>Foreign Institutional Investors (FII)</t>
  </si>
  <si>
    <t>Non Resident Indians (NRIs)</t>
  </si>
  <si>
    <t>Indian Public</t>
  </si>
  <si>
    <t>Insurance companies</t>
  </si>
  <si>
    <t>Mutual Funds / UTI</t>
  </si>
  <si>
    <t>Bodies Corporate</t>
  </si>
  <si>
    <t>Financial Institutions / Banks</t>
  </si>
  <si>
    <t>Others</t>
  </si>
  <si>
    <t>INCOME STATEMENT — Line Item Meanings</t>
  </si>
  <si>
    <t>Income</t>
  </si>
  <si>
    <t>The money the company earns from its core business — in Diageo India's case, this is the sale of alcoholic beverages (spirits, beer, wine). It includes excise duty collected from customers. This is the top line of the P&amp;L.</t>
  </si>
  <si>
    <t>Earnings that do not come from the main business. Examples: interest earned on bank deposits, profit on sale of investments, dividend received from subsidiaries, rental income, or gains on foreign exchange.</t>
  </si>
  <si>
    <t>Revenue from Operations + Other Income. Represents the total money flowing into the company during the year from all sources.</t>
  </si>
  <si>
    <t>Cost of Materials Consumed (Raw Material)</t>
  </si>
  <si>
    <t>The cost of raw materials (grain, molasses, glass bottles, packaging, etc.) used up during the year to manufacture the products. Formula: Opening stock of raw materials + Purchases − Closing stock.</t>
  </si>
  <si>
    <t>Purchase of Stock-in-Trade</t>
  </si>
  <si>
    <t>Cost of buying finished goods from outside for resale without any further manufacturing — for example, imported scotch or wine bought and sold as-is.</t>
  </si>
  <si>
    <t>Change in Inventories of FG, WIP &amp; Stock-in-Trade</t>
  </si>
  <si>
    <t>Adjusts expenses to reflect actual production cost. If closing inventory &gt; opening inventory (production exceeded sales), it is negative (reduces total expense). If the opposite, it is positive (adds to expense).</t>
  </si>
  <si>
    <t>Government tax levied on the manufacture/sale of alcoholic beverages. This is the single largest expense for liquor companies in India and is passed on to consumers as part of MRP.</t>
  </si>
  <si>
    <t>Employee Benefits Expense</t>
  </si>
  <si>
    <t>All costs related to employees — salaries &amp; wages, bonus, PF/gratuity contributions, ESOP costs, staff welfare, and retirement benefit provisions.</t>
  </si>
  <si>
    <t>Advertisement and Sales Promotion</t>
  </si>
  <si>
    <t>Money spent on brand building, advertising (surrogate ads for liquor in India), sponsorships, trade promotions, point-of-sale materials, and consumer sampling.</t>
  </si>
  <si>
    <t>All remaining operating expenses — rent, repairs &amp; maintenance, power &amp; fuel, legal fees, audit fees, travel, insurance, IT costs, commission to distributors, freight &amp; transport, etc.</t>
  </si>
  <si>
    <t>Sum of all the expense items above. Represents the total cost the company incurred to run its operations during the year.</t>
  </si>
  <si>
    <t>Profitability Measures</t>
  </si>
  <si>
    <t>EBITDA (Earnings Before Interest, Tax, Depreciation &amp; Amortisation)</t>
  </si>
  <si>
    <t>Total Income minus Total Expenses (before deducting depreciation, interest, and tax). Shows the profit generated purely from operations — the best measure of operating cash-generating ability.</t>
  </si>
  <si>
    <t>Depreciation and Amortisation Expense</t>
  </si>
  <si>
    <t>Non-cash charge that spreads the cost of fixed assets (plant, machinery, buildings) and intangible assets (software, licenses) over their useful life. Reflects wear-and-tear and obsolescence.</t>
  </si>
  <si>
    <t>EBIT (Earnings Before Interest and Tax)</t>
  </si>
  <si>
    <t>EBITDA minus Depreciation. Shows operating profit after accounting for asset usage but before financing costs and taxes. Also called Operating Profit.</t>
  </si>
  <si>
    <t>Finance Costs</t>
  </si>
  <si>
    <t>Interest and other charges paid on borrowed money — includes interest on bank loans, lease liabilities, commercial paper, and any other debt instruments.</t>
  </si>
  <si>
    <t>PBT before Profits of JVs</t>
  </si>
  <si>
    <t>Profit Before Tax calculated before adding the company's share of profit/loss from joint ventures. Equals EBIT minus Finance Costs.</t>
  </si>
  <si>
    <t>The company's proportionate share of net profit or loss from joint ventures accounted under the equity method. Zero means no active JV contributing profit.</t>
  </si>
  <si>
    <t>Profit Before Tax before adjusting for one-time exceptional items. This is the recurring operating profitability number.</t>
  </si>
  <si>
    <t>One-off, non-recurring gains or losses — such as profit/loss on sale of a factory, impairment of goodwill, restructuring charges, or legal settlement costs. Shown separately so analysts can see the 'clean' recurring profit.</t>
  </si>
  <si>
    <t>PBT (Profit Before Tax)</t>
  </si>
  <si>
    <t>The profit after all expenses including exceptional items but before paying income tax. PBT = PBT &amp; Exceptional Items + Exceptional Items.</t>
  </si>
  <si>
    <t>Income tax expense for the year — includes current tax (payable now) and deferred tax (timing differences between book profit and taxable profit).</t>
  </si>
  <si>
    <t>PAT (Profit After Tax)</t>
  </si>
  <si>
    <t>The bottom line — net profit remaining after all expenses and taxes. This is what belongs to the shareholders of the company.</t>
  </si>
  <si>
    <t>Portion of PAT that belongs to outside (minority) shareholders of subsidiaries — not to the parent company's shareholders. Zero means the company owns 100% of all subsidiaries.</t>
  </si>
  <si>
    <t>PAT minus Minority Interest. This is the final profit attributable to the equity shareholders of the parent company.</t>
  </si>
  <si>
    <t>The portion of profit distributed to shareholders as cash. The remainder (PAT minus Dividend) is retained in the business and added to Reserves &amp; Surplus.</t>
  </si>
  <si>
    <t>Effective tax rate = Tax / PBT. Shows what percentage of pre-tax profit goes to the government. Varies due to deferred tax adjustments, tax incentives, and prior-period items.</t>
  </si>
  <si>
    <t>BALANCE SHEET — Line Item Meanings</t>
  </si>
  <si>
    <t>Share Capital</t>
  </si>
  <si>
    <t>The face value of all equity shares issued by the company. For Diageo India, each share has a face value of ₹10. This rarely changes unless new shares are issued or bought back.</t>
  </si>
  <si>
    <t>Share Suspense</t>
  </si>
  <si>
    <t>Shares allotted but pending final settlement formalities (e.g., ESOP shares awaiting exercise completion). Typically a very small or zero amount.</t>
  </si>
  <si>
    <t>Reserves and Surplus (Other Equity)</t>
  </si>
  <si>
    <t>Accumulated retained earnings over the years (profits not paid out as dividends), plus share premium, general reserve, and other reserves. This is the shareholders' wealth built up inside the company.</t>
  </si>
  <si>
    <t>Share Capital + Share Suspense + Reserves &amp; Surplus. Represents the net worth — the shareholders' total claim on the company's assets after all liabilities are paid.</t>
  </si>
  <si>
    <t>Non-Current Liabilities (due after more than 1 year)</t>
  </si>
  <si>
    <t>Borrowings (Non-Current)</t>
  </si>
  <si>
    <t>Long-term loans from banks or financial institutions that are due for repayment after more than one year. Zero means the company has no long-term debt — a sign of strong financial health.</t>
  </si>
  <si>
    <t>Lease Liabilities (Non-Current)</t>
  </si>
  <si>
    <t>The long-term portion of obligations under lease agreements (warehouses, offices, vehicles). Under Ind AS 116, operating leases are now recorded on the balance sheet.</t>
  </si>
  <si>
    <t>Provisions (Non-Current)</t>
  </si>
  <si>
    <t>Amounts set aside for known future obligations that will be settled beyond one year — such as employee gratuity, long-term leave encashment, or asset retirement obligations.</t>
  </si>
  <si>
    <t>Sum of all long-term obligations. A lower figure relative to equity means the company relies less on long-term debt to fund its operations.</t>
  </si>
  <si>
    <t>Current Liabilities (due within 1 year)</t>
  </si>
  <si>
    <t>Borrowings (Current / Short-Term)</t>
  </si>
  <si>
    <t>Short-term loans, working capital facilities, or commercial paper that must be repaid within one year. Includes cash credit and overdraft facilities from banks.</t>
  </si>
  <si>
    <t>Lease Liabilities (Current)</t>
  </si>
  <si>
    <t>The portion of lease payments due within the next 12 months — the current year's rent obligation for leased assets.</t>
  </si>
  <si>
    <t>Trade Payables — MSME</t>
  </si>
  <si>
    <t>Amounts owed to micro and small enterprise suppliers for raw materials, goods, or services purchased on credit. Separately disclosed as required by MSMED Act.</t>
  </si>
  <si>
    <t>Trade Payables — Other Creditors</t>
  </si>
  <si>
    <t>Amounts owed to all other suppliers (large companies, importers, service providers) for goods and services bought on credit.</t>
  </si>
  <si>
    <t>Short-term financial obligations other than borrowings and trade payables — such as interest accrued but not yet paid, security deposits from distributors, or unpaid capital expenditure bills.</t>
  </si>
  <si>
    <t>Provisions (Current)</t>
  </si>
  <si>
    <t>Amounts set aside for obligations expected to be settled within one year — such as excise duty disputes, sales tax demands under litigation, warranty claims, or employee bonus payable.</t>
  </si>
  <si>
    <t>Current Tax Liabilities (Net)</t>
  </si>
  <si>
    <t>Income tax payable to the government for the current year, net of advance tax already paid. A positive balance means tax still owed.</t>
  </si>
  <si>
    <t>Miscellaneous short-term obligations — statutory dues payable (GST, TDS), advances received from customers, deferred revenue, and any other amounts due within one year.</t>
  </si>
  <si>
    <t>Sum of all obligations due within one year. Compared against Current Assets to assess the company's short-term liquidity position.</t>
  </si>
  <si>
    <t>Total Equity + Total Non-Current Liabilities + Total Current Liabilities. Must always equal Total Assets (the fundamental accounting equation).</t>
  </si>
  <si>
    <t>Non-Current Assets (held for more than 1 year)</t>
  </si>
  <si>
    <t>Property, Plant and Equipment (PPE)</t>
  </si>
  <si>
    <t>Physical assets used in operations — land, buildings, manufacturing plant, machinery, furniture, vehicles, and office equipment. Shown at cost minus accumulated depreciation.</t>
  </si>
  <si>
    <t>Right-of-Use Assets</t>
  </si>
  <si>
    <t>The value of assets used under lease agreements (warehouses, offices, vehicles) recognized under Ind AS 116. Depreciated over the lease term.</t>
  </si>
  <si>
    <t>Capital Work-in-Progress (CWIP)</t>
  </si>
  <si>
    <t>Cost of assets (plant, buildings, equipment) that are under construction or installation and not yet ready for use. Once completed, they move to PPE.</t>
  </si>
  <si>
    <t>Non-physical assets with economic value — such as computer software, licenses, trademarks, and brand rights. Amortised over their useful life.</t>
  </si>
  <si>
    <t>Intangible Assets Under Development</t>
  </si>
  <si>
    <t>Intangible assets being developed but not yet complete — for example, software under development or pending patent applications.</t>
  </si>
  <si>
    <t>Investment Property</t>
  </si>
  <si>
    <t>Property (land or buildings) held to earn rental income or for capital appreciation, not used in the company's own operations. Shown separately from PPE.</t>
  </si>
  <si>
    <t>Investments in Subsidiaries and Associates/JVs</t>
  </si>
  <si>
    <t>Money invested in subsidiary companies, associates, or joint ventures. Shown at cost or equity method. Represents the company's ownership stake in other entities.</t>
  </si>
  <si>
    <t>Trade Receivables (Non-Current)</t>
  </si>
  <si>
    <t>Amounts owed by customers for goods sold on credit that are expected to be collected beyond one year. Unusual for FMCG; may indicate long-term settlement arrangements.</t>
  </si>
  <si>
    <t>Loans (Non-Current)</t>
  </si>
  <si>
    <t>Long-term loans given to subsidiaries, employees, or others that are due for repayment after more than one year.</t>
  </si>
  <si>
    <t>Other Financial Assets (Non-Current)</t>
  </si>
  <si>
    <t>Long-term financial assets such as security deposits paid, fixed deposits with banks maturing beyond one year, or derivative instruments.</t>
  </si>
  <si>
    <t>Deferred Tax Assets (Net)</t>
  </si>
  <si>
    <t>Tax benefit arising from timing differences — e.g., when the company has paid more tax now than required under accounting rules, and will pay less in the future. Net of deferred tax liabilities.</t>
  </si>
  <si>
    <t>Current Tax Assets (Net) — Non-Current</t>
  </si>
  <si>
    <t>Advance income tax and TDS paid in excess of the actual tax liability for previous years. Shown as non-current because tax refund disputes with the government can take years to resolve.</t>
  </si>
  <si>
    <t>Miscellaneous long-term assets — capital advances paid to vendors for future asset purchases, prepaid expenses extending beyond one year, or balances with government authorities.</t>
  </si>
  <si>
    <t>Sum of all assets held for more than one year. Represents the long-term infrastructure and investments that support the company's operations.</t>
  </si>
  <si>
    <t>Current Assets (convertible to cash within 1 year)</t>
  </si>
  <si>
    <t>Stock of goods at various stages — raw materials (grain, bottles), work-in-progress (maturing spirits), finished goods (ready-to-sell bottles), and stock-in-trade (purchased goods for resale).</t>
  </si>
  <si>
    <t>Investments (Current)</t>
  </si>
  <si>
    <t>Short-term investments in mutual funds, treasury bills, or fixed deposits maturing within one year. Parked to earn returns on surplus cash.</t>
  </si>
  <si>
    <t>Trade Receivables (Current)</t>
  </si>
  <si>
    <t>Amounts owed by customers (distributors, retailers) for goods sold on credit, expected to be collected within the normal credit period (typically 30–90 days).</t>
  </si>
  <si>
    <t>Cash and Cash Equivalents</t>
  </si>
  <si>
    <t>Money readily available — cash on hand, balances in current accounts with banks, and highly liquid investments maturing within 3 months (e.g., short-term FDs).</t>
  </si>
  <si>
    <t>Bank Balances Other Than Cash and Cash Equivalents</t>
  </si>
  <si>
    <t>Fixed deposits or earmarked bank balances that do not qualify as cash equivalents — such as deposits with maturity beyond 3 months, or balances held as margin money.</t>
  </si>
  <si>
    <t>Loans (Current)</t>
  </si>
  <si>
    <t>Short-term loans given to subsidiaries, employees, or others that are due for repayment within one year.</t>
  </si>
  <si>
    <t>Other Financial Assets (Current)</t>
  </si>
  <si>
    <t>Short-term financial assets — such as interest accrued on deposits, insurance claims receivable, derivative instruments, or deposits with government authorities.</t>
  </si>
  <si>
    <t>Miscellaneous short-term assets — advance payments to suppliers, prepaid insurance, GST/excise duty refunds receivable, and balances with statutory authorities.</t>
  </si>
  <si>
    <t>Assets Classified as Held for Sale</t>
  </si>
  <si>
    <t>Assets the company has decided to sell rather than continue using — such as a closed factory or surplus land. Shown at the lower of carrying value or expected sale price.</t>
  </si>
  <si>
    <t>Sum of all assets expected to be converted into cash within one year. Compared against Current Liabilities to assess short-term solvency.</t>
  </si>
  <si>
    <t>Total Non-Current Assets + Total Current Assets. Must always equal Total Equities &amp; Liabilities. Represents everything the company owns.</t>
  </si>
  <si>
    <t>CASH FLOW STATEMENT — Line Item Meanings</t>
  </si>
  <si>
    <t>A. Cash Flow from Operating Activities</t>
  </si>
  <si>
    <t>Starting Point: PBT</t>
  </si>
  <si>
    <t>The cash flow statement starts with Profit Before Tax from the income statement, and then adjusts for all non-cash items and working capital changes to arrive at actual cash generated.</t>
  </si>
  <si>
    <t>Depreciation and Amortisation (add back)</t>
  </si>
  <si>
    <t>Added back because it is a non-cash expense — no actual cash left the company. The cash was spent when the asset was originally purchased.</t>
  </si>
  <si>
    <t>Employee Share-Based Payment Expense (add back)</t>
  </si>
  <si>
    <t>Non-cash expense representing the fair value of stock options (ESOPs) granted to employees. Added back because no cash was paid — the cost is the dilution of equity.</t>
  </si>
  <si>
    <t>Loss Allowance on Trade Receivables (add back / deduct)</t>
  </si>
  <si>
    <t>Provision for expected bad debts. If positive (provision created), added back as non-cash. If negative (reversal of earlier provision), deducted.</t>
  </si>
  <si>
    <t>Finance Costs (add back)</t>
  </si>
  <si>
    <t>Added back here because it will be shown separately under financing activities. This avoids double-counting — operating profit should exclude financing decisions.</t>
  </si>
  <si>
    <t>Gain on Disposal of PPE (deduct)</t>
  </si>
  <si>
    <t>Profit on selling fixed assets is deducted because it is a non-operating item — the actual cash inflow from the sale appears under Investing Activities.</t>
  </si>
  <si>
    <t>Interest Income (deduct)</t>
  </si>
  <si>
    <t>Removed from operating profit because it is not from core operations. The actual cash received appears under Investing Activities.</t>
  </si>
  <si>
    <t>Exceptional Items (add back / deduct)</t>
  </si>
  <si>
    <t>Non-recurring items are reversed out so operating cash flow reflects only regular business activity. The cash effect appears elsewhere if applicable.</t>
  </si>
  <si>
    <t>Operating Profit Before Working Capital Changes</t>
  </si>
  <si>
    <t>PBT adjusted for all non-cash and non-operating items. This is the cash the business would generate if there were no changes in working capital.</t>
  </si>
  <si>
    <t>Working Capital Adjustments</t>
  </si>
  <si>
    <t>(Increase) / Decrease in Trade Receivables</t>
  </si>
  <si>
    <t>If receivables increased, the company sold goods but hasn't collected cash yet — cash outflow. If decreased, collections exceeded new sales — cash inflow.</t>
  </si>
  <si>
    <t>(Increase) / Decrease in Inventories</t>
  </si>
  <si>
    <t>If inventory increased, the company spent cash to build stock — cash outflow. If decreased, the company sold from existing stock — cash inflow.</t>
  </si>
  <si>
    <t>Increase / (Decrease) in Trade Payables</t>
  </si>
  <si>
    <t>If payables increased, the company bought materials on credit without paying yet — cash inflow (conservation). If decreased, the company paid off suppliers — cash outflow.</t>
  </si>
  <si>
    <t>(Increase) / Decrease in Loans &amp; Other Financial Assets</t>
  </si>
  <si>
    <t>Changes in short-term loans given or financial assets held. An increase means cash was deployed; a decrease means cash was recovered.</t>
  </si>
  <si>
    <t>(Increase) / Decrease in Other Assets</t>
  </si>
  <si>
    <t>Changes in prepaid expenses, advances, and other miscellaneous assets. An increase means cash was spent upfront; a decrease means prior advances were adjusted.</t>
  </si>
  <si>
    <t>Increase / (Decrease) in Other Liabilities</t>
  </si>
  <si>
    <t>Changes in statutory dues, customer advances, and other obligations. An increase means cash was received or retained; a decrease means obligations were settled.</t>
  </si>
  <si>
    <t>Increase / (Decrease) in Provisions</t>
  </si>
  <si>
    <t>Changes in provisions for excise disputes, employee benefits, etc. An increase adds to operating cash (obligation recognized but not paid); a decrease means provisions were used (cash paid out).</t>
  </si>
  <si>
    <t>Cash Generated from Operations</t>
  </si>
  <si>
    <t>Operating profit after adjusting for working capital changes. This is the actual cash produced by day-to-day business before paying taxes.</t>
  </si>
  <si>
    <t>Income Taxes Paid (Net of Refunds)</t>
  </si>
  <si>
    <t>Actual cash paid to the tax authorities during the year, net of any refunds received. Different from tax expense in P&amp;L due to advance tax and prior-year adjustments.</t>
  </si>
  <si>
    <t>Net Cash from Operating Activities</t>
  </si>
  <si>
    <t>The final operating cash flow — the actual cash the core business generated after paying taxes. This is the most important number for assessing business health.</t>
  </si>
  <si>
    <t>B. Cash Flow from Investing Activities</t>
  </si>
  <si>
    <t>Purchase of PPE and Intangible Assets (Capex)</t>
  </si>
  <si>
    <t>Cash spent on buying new factories, machinery, equipment, software, or other long-term assets. This is capital expenditure — investment in future capacity.</t>
  </si>
  <si>
    <t>Proceeds from Sale of PPE / Investment Property</t>
  </si>
  <si>
    <t>Cash received from selling fixed assets the company no longer needs — such as old machinery, surplus land, or closed facilities.</t>
  </si>
  <si>
    <t>Purchase of Current Investments</t>
  </si>
  <si>
    <t>Cash deployed into short-term mutual funds, treasury bills, or fixed deposits — parking surplus cash to earn returns.</t>
  </si>
  <si>
    <t>Redemption of Current Investments</t>
  </si>
  <si>
    <t>Cash received when short-term investments mature or are sold. The net of purchase and redemption shows whether the company is accumulating or drawing down its investment pool.</t>
  </si>
  <si>
    <t>Investment in Term Deposits with Banks</t>
  </si>
  <si>
    <t>Cash placed into bank fixed deposits (typically &gt; 3 months). This is a conservative way to earn interest on idle cash.</t>
  </si>
  <si>
    <t>Redemption of Term Deposits from Banks</t>
  </si>
  <si>
    <t>Cash received when bank fixed deposits mature. Indicates the company is pulling money out of deposits — either to use in business or reinvest elsewhere.</t>
  </si>
  <si>
    <t>Investment in Associate / Subsidiary / JV</t>
  </si>
  <si>
    <t>Cash spent to acquire or increase stake in a subsidiary, associate company, or joint venture. This is a strategic investment in related entities.</t>
  </si>
  <si>
    <t>Loans Given to Subsidiaries and JVs</t>
  </si>
  <si>
    <t>Cash lent by the parent company to its subsidiaries or joint ventures — often to fund their operations or expansion.</t>
  </si>
  <si>
    <t>Repayment of Loans by Subsidiary / JV</t>
  </si>
  <si>
    <t>Cash received back when subsidiaries or joint ventures repay the loans given to them earlier.</t>
  </si>
  <si>
    <t>Interest Received</t>
  </si>
  <si>
    <t>Actual cash received as interest on deposits, loans, and investments during the year.</t>
  </si>
  <si>
    <t>Dividend Received</t>
  </si>
  <si>
    <t>Cash received as dividend from subsidiaries, associates, or other investments.</t>
  </si>
  <si>
    <t>Net Cash from Investing Activities</t>
  </si>
  <si>
    <t>Total cash inflow minus outflow from all investing activities. A negative number is normal for growing companies (they invest more than they liquidate).</t>
  </si>
  <si>
    <t>C. Cash Flow from Financing Activities</t>
  </si>
  <si>
    <t>Net Proceeds / (Repayment) of Working Capital Loans</t>
  </si>
  <si>
    <t>Net cash received from or repaid towards short-term bank borrowings (cash credit, overdraft). Positive = borrowed more; Negative = repaid.</t>
  </si>
  <si>
    <t>Interest Paid on Borrowings</t>
  </si>
  <si>
    <t>Actual cash paid as interest on bank loans and other debt during the year.</t>
  </si>
  <si>
    <t>Dividend Paid</t>
  </si>
  <si>
    <t>Cash paid out to shareholders as dividend. This is a return of profit to the owners of the company.</t>
  </si>
  <si>
    <t>Principal Repayment of Lease Liabilities</t>
  </si>
  <si>
    <t>Cash paid towards reducing the outstanding lease obligation — the non-interest portion of lease rent. Under Ind AS 116, this is classified under financing activities.</t>
  </si>
  <si>
    <t>Interest Paid on Lease Liabilities</t>
  </si>
  <si>
    <t>The interest component of lease payments. Separated from principal to show the true cost of leasing.</t>
  </si>
  <si>
    <t>Net Cash (Used) in Financing Activities</t>
  </si>
  <si>
    <t>Total cash inflow minus outflow from financing decisions — borrowing, repaying debt, and paying dividends. Negative means the company returned more to capital providers than it raised.</t>
  </si>
  <si>
    <t>D. Summary</t>
  </si>
  <si>
    <t>Net Increase / (Decrease) in Cash [A + B + C]</t>
  </si>
  <si>
    <t>The overall change in cash during the year = Operating + Investing + Financing cash flows. Shows whether the company ended the year with more or less cash than it started with.</t>
  </si>
  <si>
    <t>Cash at Beginning of Year</t>
  </si>
  <si>
    <t>Opening cash balance — carries forward from the closing balance of the previous year.</t>
  </si>
  <si>
    <t>Cash at End of Year [Opening + Net Change]</t>
  </si>
  <si>
    <t>Closing cash balance — this should match the Cash and Cash Equivalents figure on the Balance Sheet.</t>
  </si>
  <si>
    <t>Acquisition of Right-of-Use Assets (Non-Cash)</t>
  </si>
  <si>
    <t>New lease contracts entered during the year. Disclosed as a non-cash activity because no cash was exchanged — the company simply recognized a new lease asset and corresponding liability.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</si>
</sst>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800]dddd&quot;, &quot;mmmm\ dd&quot;, &quot;yyyy"/>
    <numFmt numFmtId="165" formatCode="#,##0;\(#,##0\);\-"/>
    <numFmt numFmtId="166" formatCode="#,##0.0"/>
    <numFmt numFmtId="167" formatCode="_ * #,##0.00_ ;_ * \-#,##0.00_ ;_ * \-??_ ;_ @_ "/>
    <numFmt numFmtId="168" formatCode="_ * #,##0_ ;_ * \-#,##0_ ;_ * \-??_ ;_ @_ "/>
    <numFmt numFmtId="169" formatCode="#,##0.0;\(#,##0.0\);\-"/>
    <numFmt numFmtId="170" formatCode="[$-F800]dddd\,\ mmmm\ dd\,\ yyyy"/>
  </numFmts>
  <fonts count="17" x14ac:knownFonts="1">
    <font>
      <sz val="11"/>
      <color theme="1"/>
      <name val="Calibri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Book Antiqua"/>
      <family val="1"/>
      <charset val="1"/>
    </font>
    <font>
      <b/>
      <sz val="11"/>
      <color theme="0"/>
      <name val="Book Antiqua"/>
      <family val="1"/>
      <charset val="1"/>
    </font>
    <font>
      <b/>
      <sz val="11"/>
      <color theme="1"/>
      <name val="Book Antiqua"/>
      <family val="1"/>
      <charset val="1"/>
    </font>
    <font>
      <b/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1"/>
      <name val="Calibri"/>
      <family val="2"/>
      <charset val="1"/>
    </font>
    <font>
      <b/>
      <sz val="11"/>
      <color theme="5" tint="-0.499984740745262"/>
      <name val="Book Antiqua"/>
      <family val="1"/>
      <charset val="1"/>
    </font>
    <font>
      <b/>
      <u/>
      <sz val="11"/>
      <color theme="1"/>
      <name val="Book Antiqua"/>
      <family val="1"/>
      <charset val="1"/>
    </font>
    <font>
      <sz val="8"/>
      <color rgb="FF202122"/>
      <name val="Arial"/>
      <family val="2"/>
      <charset val="1"/>
    </font>
    <font>
      <b/>
      <sz val="13"/>
      <color rgb="FFFFFFFF"/>
      <name val="Arial"/>
      <charset val="1"/>
    </font>
    <font>
      <b/>
      <sz val="11"/>
      <color rgb="FF1F4E7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theme="1"/>
      <name val="Book Antiqua"/>
      <family val="1"/>
    </font>
  </fonts>
  <fills count="12">
    <fill>
      <patternFill patternType="none"/>
    </fill>
    <fill>
      <patternFill patternType="gray125"/>
    </fill>
    <fill>
      <patternFill patternType="solid">
        <fgColor theme="5" tint="-0.499984740745262"/>
        <bgColor rgb="FFC55A11"/>
      </patternFill>
    </fill>
    <fill>
      <patternFill patternType="solid">
        <fgColor theme="5" tint="0.39979247413556324"/>
        <bgColor rgb="FFF1A78B"/>
      </patternFill>
    </fill>
    <fill>
      <patternFill patternType="solid">
        <fgColor theme="9" tint="0.59978026673177287"/>
        <bgColor rgb="FFD9D9D9"/>
      </patternFill>
    </fill>
    <fill>
      <patternFill patternType="solid">
        <fgColor theme="0"/>
        <bgColor rgb="FFF8F9FA"/>
      </patternFill>
    </fill>
    <fill>
      <patternFill patternType="solid">
        <fgColor theme="5" tint="0.79979857783745845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1F4E79"/>
        <bgColor rgb="FF3162B9"/>
      </patternFill>
    </fill>
    <fill>
      <patternFill patternType="solid">
        <fgColor rgb="FFD6E4F0"/>
        <bgColor rgb="FFD9D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7">
    <xf numFmtId="0" fontId="0" fillId="0" borderId="0"/>
    <xf numFmtId="9" fontId="2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2" fillId="0" borderId="0"/>
    <xf numFmtId="9" fontId="2" fillId="0" borderId="0"/>
  </cellStyleXfs>
  <cellXfs count="1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/>
    <xf numFmtId="0" fontId="5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3" fillId="0" borderId="0" xfId="0" applyNumberFormat="1" applyFont="1"/>
    <xf numFmtId="0" fontId="3" fillId="0" borderId="1" xfId="0" applyFont="1" applyBorder="1"/>
    <xf numFmtId="3" fontId="0" fillId="0" borderId="1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3" fillId="0" borderId="0" xfId="0" applyNumberFormat="1" applyFont="1"/>
    <xf numFmtId="0" fontId="5" fillId="0" borderId="1" xfId="0" applyFont="1" applyBorder="1"/>
    <xf numFmtId="1" fontId="5" fillId="0" borderId="1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165" fontId="7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3" fillId="0" borderId="4" xfId="0" applyFont="1" applyBorder="1"/>
    <xf numFmtId="9" fontId="3" fillId="0" borderId="1" xfId="1" applyFont="1" applyBorder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0" fontId="5" fillId="5" borderId="5" xfId="0" applyFont="1" applyFill="1" applyBorder="1"/>
    <xf numFmtId="0" fontId="5" fillId="5" borderId="0" xfId="0" applyFont="1" applyFill="1"/>
    <xf numFmtId="164" fontId="5" fillId="4" borderId="3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/>
    <xf numFmtId="9" fontId="3" fillId="3" borderId="1" xfId="1" applyFont="1" applyFill="1" applyBorder="1"/>
    <xf numFmtId="0" fontId="0" fillId="0" borderId="1" xfId="0" applyBorder="1" applyAlignment="1">
      <alignment horizontal="left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9" fontId="3" fillId="0" borderId="1" xfId="1" applyFont="1" applyBorder="1"/>
    <xf numFmtId="0" fontId="8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4" fontId="3" fillId="0" borderId="0" xfId="0" applyNumberFormat="1" applyFont="1"/>
    <xf numFmtId="164" fontId="5" fillId="0" borderId="0" xfId="0" applyNumberFormat="1" applyFont="1" applyAlignment="1">
      <alignment horizontal="center" vertical="center"/>
    </xf>
    <xf numFmtId="0" fontId="3" fillId="4" borderId="1" xfId="0" applyFont="1" applyFill="1" applyBorder="1"/>
    <xf numFmtId="1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5" fillId="4" borderId="1" xfId="0" applyFont="1" applyFill="1" applyBorder="1"/>
    <xf numFmtId="164" fontId="5" fillId="4" borderId="0" xfId="0" applyNumberFormat="1" applyFont="1" applyFill="1" applyAlignment="1">
      <alignment horizontal="center" vertical="center"/>
    </xf>
    <xf numFmtId="2" fontId="3" fillId="0" borderId="1" xfId="0" applyNumberFormat="1" applyFont="1" applyBorder="1"/>
    <xf numFmtId="2" fontId="3" fillId="0" borderId="0" xfId="0" applyNumberFormat="1" applyFont="1"/>
    <xf numFmtId="0" fontId="3" fillId="0" borderId="6" xfId="0" applyFont="1" applyBorder="1"/>
    <xf numFmtId="2" fontId="3" fillId="0" borderId="7" xfId="0" applyNumberFormat="1" applyFont="1" applyBorder="1"/>
    <xf numFmtId="167" fontId="3" fillId="0" borderId="1" xfId="0" applyNumberFormat="1" applyFont="1" applyBorder="1"/>
    <xf numFmtId="167" fontId="3" fillId="0" borderId="0" xfId="0" applyNumberFormat="1" applyFont="1"/>
    <xf numFmtId="0" fontId="3" fillId="0" borderId="7" xfId="0" applyFont="1" applyBorder="1"/>
    <xf numFmtId="0" fontId="3" fillId="0" borderId="1" xfId="0" applyFont="1" applyBorder="1" applyAlignment="1">
      <alignment wrapText="1"/>
    </xf>
    <xf numFmtId="168" fontId="3" fillId="0" borderId="1" xfId="0" applyNumberFormat="1" applyFont="1" applyBorder="1"/>
    <xf numFmtId="168" fontId="3" fillId="0" borderId="0" xfId="0" applyNumberFormat="1" applyFont="1"/>
    <xf numFmtId="0" fontId="5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9" fontId="3" fillId="0" borderId="1" xfId="1" applyFont="1" applyBorder="1" applyAlignment="1">
      <alignment horizontal="center"/>
    </xf>
    <xf numFmtId="9" fontId="3" fillId="0" borderId="0" xfId="1" applyFont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2" fontId="3" fillId="0" borderId="1" xfId="1" applyNumberFormat="1" applyFont="1" applyBorder="1" applyAlignment="1">
      <alignment horizontal="center"/>
    </xf>
    <xf numFmtId="2" fontId="3" fillId="0" borderId="0" xfId="1" applyNumberFormat="1" applyFont="1" applyAlignment="1">
      <alignment horizontal="center"/>
    </xf>
    <xf numFmtId="0" fontId="3" fillId="5" borderId="0" xfId="0" applyFont="1" applyFill="1"/>
    <xf numFmtId="9" fontId="3" fillId="5" borderId="0" xfId="0" applyNumberFormat="1" applyFont="1" applyFill="1"/>
    <xf numFmtId="0" fontId="5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4" fillId="2" borderId="0" xfId="0" applyFont="1" applyFill="1"/>
    <xf numFmtId="0" fontId="9" fillId="0" borderId="0" xfId="0" applyFont="1"/>
    <xf numFmtId="10" fontId="0" fillId="0" borderId="0" xfId="0" applyNumberFormat="1"/>
    <xf numFmtId="0" fontId="5" fillId="3" borderId="1" xfId="5" applyFont="1" applyFill="1" applyBorder="1"/>
    <xf numFmtId="0" fontId="2" fillId="5" borderId="0" xfId="5" applyFill="1"/>
    <xf numFmtId="0" fontId="2" fillId="0" borderId="0" xfId="5"/>
    <xf numFmtId="0" fontId="5" fillId="4" borderId="1" xfId="5" applyFont="1" applyFill="1" applyBorder="1" applyAlignment="1">
      <alignment horizontal="left" vertical="center"/>
    </xf>
    <xf numFmtId="164" fontId="5" fillId="4" borderId="1" xfId="5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169" fontId="0" fillId="0" borderId="1" xfId="0" applyNumberFormat="1" applyBorder="1" applyAlignment="1">
      <alignment horizontal="right" vertical="center" wrapText="1"/>
    </xf>
    <xf numFmtId="169" fontId="8" fillId="5" borderId="1" xfId="0" applyNumberFormat="1" applyFont="1" applyFill="1" applyBorder="1" applyAlignment="1">
      <alignment horizontal="right" vertical="center" wrapText="1"/>
    </xf>
    <xf numFmtId="0" fontId="5" fillId="6" borderId="1" xfId="0" applyFont="1" applyFill="1" applyBorder="1"/>
    <xf numFmtId="166" fontId="5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10" fillId="4" borderId="1" xfId="0" applyNumberFormat="1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0" fontId="5" fillId="5" borderId="1" xfId="0" applyFont="1" applyFill="1" applyBorder="1"/>
    <xf numFmtId="0" fontId="0" fillId="5" borderId="1" xfId="0" applyFill="1" applyBorder="1" applyAlignment="1">
      <alignment horizontal="left" vertical="center" wrapText="1"/>
    </xf>
    <xf numFmtId="166" fontId="0" fillId="0" borderId="1" xfId="0" applyNumberForma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1" fillId="7" borderId="8" xfId="0" applyFont="1" applyFill="1" applyBorder="1" applyAlignment="1">
      <alignment vertical="center" wrapText="1"/>
    </xf>
    <xf numFmtId="10" fontId="11" fillId="7" borderId="8" xfId="0" applyNumberFormat="1" applyFont="1" applyFill="1" applyBorder="1" applyAlignment="1">
      <alignment vertical="center" wrapText="1"/>
    </xf>
    <xf numFmtId="0" fontId="14" fillId="0" borderId="9" xfId="0" applyFont="1" applyBorder="1" applyAlignment="1">
      <alignment vertical="top" wrapText="1"/>
    </xf>
    <xf numFmtId="0" fontId="15" fillId="0" borderId="9" xfId="0" applyFont="1" applyBorder="1" applyAlignment="1">
      <alignment vertical="top" wrapText="1"/>
    </xf>
    <xf numFmtId="9" fontId="2" fillId="0" borderId="1" xfId="1" applyBorder="1"/>
    <xf numFmtId="0" fontId="3" fillId="10" borderId="0" xfId="0" applyFont="1" applyFill="1"/>
    <xf numFmtId="0" fontId="16" fillId="10" borderId="2" xfId="0" applyFont="1" applyFill="1" applyBorder="1"/>
    <xf numFmtId="9" fontId="3" fillId="10" borderId="10" xfId="1" applyFont="1" applyFill="1" applyBorder="1"/>
    <xf numFmtId="170" fontId="16" fillId="11" borderId="1" xfId="0" applyNumberFormat="1" applyFont="1" applyFill="1" applyBorder="1" applyAlignment="1">
      <alignment horizontal="center" vertical="center"/>
    </xf>
    <xf numFmtId="10" fontId="2" fillId="0" borderId="0" xfId="1" applyNumberFormat="1"/>
    <xf numFmtId="0" fontId="0" fillId="10" borderId="0" xfId="0" applyFill="1"/>
    <xf numFmtId="0" fontId="5" fillId="0" borderId="2" xfId="0" applyFont="1" applyBorder="1"/>
    <xf numFmtId="10" fontId="2" fillId="0" borderId="1" xfId="1" applyNumberFormat="1" applyBorder="1"/>
    <xf numFmtId="10" fontId="3" fillId="0" borderId="1" xfId="6" applyNumberFormat="1" applyFont="1" applyBorder="1"/>
    <xf numFmtId="0" fontId="3" fillId="0" borderId="0" xfId="5" applyFont="1"/>
    <xf numFmtId="10" fontId="3" fillId="0" borderId="0" xfId="6" applyNumberFormat="1" applyFont="1"/>
    <xf numFmtId="0" fontId="5" fillId="3" borderId="3" xfId="5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0" fontId="5" fillId="3" borderId="11" xfId="0" applyFont="1" applyFill="1" applyBorder="1" applyAlignment="1">
      <alignment horizontal="right"/>
    </xf>
    <xf numFmtId="0" fontId="12" fillId="8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</cellXfs>
  <cellStyles count="7">
    <cellStyle name="Normal" xfId="0" builtinId="0"/>
    <cellStyle name="Normal 2" xfId="2" xr:uid="{00000000-0005-0000-0000-000006000000}"/>
    <cellStyle name="Normal 3" xfId="3" xr:uid="{00000000-0005-0000-0000-000007000000}"/>
    <cellStyle name="Normal 4" xfId="4" xr:uid="{00000000-0005-0000-0000-000008000000}"/>
    <cellStyle name="Normal 5" xfId="5" xr:uid="{00000000-0005-0000-0000-000009000000}"/>
    <cellStyle name="Percent" xfId="1" builtinId="5"/>
    <cellStyle name="Percent 2" xfId="6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ED7D31"/>
      <rgbColor rgb="FF00FF00"/>
      <rgbColor rgb="FF0000FF"/>
      <rgbColor rgb="FFFFC652"/>
      <rgbColor rgb="FFFF00FF"/>
      <rgbColor rgb="FFA5A5A5"/>
      <rgbColor rgb="FF800000"/>
      <rgbColor rgb="FF61A335"/>
      <rgbColor rgb="FF000080"/>
      <rgbColor rgb="FF548235"/>
      <rgbColor rgb="FF800080"/>
      <rgbColor rgb="FF448AC9"/>
      <rgbColor rgb="FFBFBFBF"/>
      <rgbColor rgb="FF929292"/>
      <rgbColor rgb="FF90A2D3"/>
      <rgbColor rgb="FFC55A11"/>
      <rgbColor rgb="FFF8F9FA"/>
      <rgbColor rgb="FFD6E4F0"/>
      <rgbColor rgb="FF660066"/>
      <rgbColor rgb="FFF18C59"/>
      <rgbColor rgb="FF4472C4"/>
      <rgbColor rgb="FFD9D9D9"/>
      <rgbColor rgb="FF000080"/>
      <rgbColor rgb="FFFF00FF"/>
      <rgbColor rgb="FFE3AB00"/>
      <rgbColor rgb="FF00FFFF"/>
      <rgbColor rgb="FF800080"/>
      <rgbColor rgb="FF800000"/>
      <rgbColor rgb="FF518ABD"/>
      <rgbColor rgb="FF0000FF"/>
      <rgbColor rgb="FF73A6DA"/>
      <rgbColor rgb="FFA2A9B1"/>
      <rgbColor rgb="FFC5E0B4"/>
      <rgbColor rgb="FFFBE5D6"/>
      <rgbColor rgb="FFAFAFAF"/>
      <rgbColor rgb="FFF1A78B"/>
      <rgbColor rgb="FFB0B0B0"/>
      <rgbColor rgb="FFF4B183"/>
      <rgbColor rgb="FF3162B9"/>
      <rgbColor rgb="FF5B9BD5"/>
      <rgbColor rgb="FF82B664"/>
      <rgbColor rgb="FFFFC000"/>
      <rgbColor rgb="FFE2AA00"/>
      <rgbColor rgb="FFE36C1A"/>
      <rgbColor rgb="FF3C65AE"/>
      <rgbColor rgb="FF939393"/>
      <rgbColor rgb="FF002060"/>
      <rgbColor rgb="FF639A3F"/>
      <rgbColor rgb="FF003300"/>
      <rgbColor rgb="FF6283CB"/>
      <rgbColor rgb="FF843C0B"/>
      <rgbColor rgb="FFD36F2B"/>
      <rgbColor rgb="FF1F4E79"/>
      <rgbColor rgb="FF2021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0" strike="noStrike" spc="-1">
                <a:solidFill>
                  <a:srgbClr val="000000"/>
                </a:solidFill>
                <a:latin typeface="Calibri"/>
                <a:ea typeface="Calibri"/>
              </a:rPr>
              <a:t>Liquidity Ratios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Analysis'!$A$107</c:f>
              <c:strCache>
                <c:ptCount val="1"/>
                <c:pt idx="0">
                  <c:v>Current Ratio (CA/CL)</c:v>
                </c:pt>
              </c:strCache>
            </c:strRef>
          </c:tx>
          <c:spPr>
            <a:ln w="28440" cap="rnd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Analysis'!$B$106:$F$106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Analysis'!$B$107:$F$107</c:f>
              <c:numCache>
                <c:formatCode>0.00</c:formatCode>
                <c:ptCount val="5"/>
                <c:pt idx="0">
                  <c:v>2.0437773608505316</c:v>
                </c:pt>
                <c:pt idx="1">
                  <c:v>1.9641345511249722</c:v>
                </c:pt>
                <c:pt idx="2">
                  <c:v>1.9345057610673135</c:v>
                </c:pt>
                <c:pt idx="3">
                  <c:v>1.564609682256741</c:v>
                </c:pt>
                <c:pt idx="4">
                  <c:v>1.4100529819318028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4-4051-A2D5-CD58666959DA}"/>
            </c:ext>
          </c:extLst>
        </c:ser>
        <c:ser>
          <c:idx val="1"/>
          <c:order val="1"/>
          <c:tx>
            <c:strRef>
              <c:f>'FS &amp; Trend Analysis'!$A$108</c:f>
              <c:strCache>
                <c:ptCount val="1"/>
                <c:pt idx="0">
                  <c:v>Quick Ratio (CA-Invent.-Prepaid Exp/CL)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Analysis'!$B$106:$F$106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Analysis'!$B$108:$F$108</c:f>
              <c:numCache>
                <c:formatCode>0.00</c:formatCode>
                <c:ptCount val="5"/>
                <c:pt idx="0">
                  <c:v>1.4894725870335626</c:v>
                </c:pt>
                <c:pt idx="1">
                  <c:v>1.4506571619514368</c:v>
                </c:pt>
                <c:pt idx="2">
                  <c:v>1.3658415568664204</c:v>
                </c:pt>
                <c:pt idx="3">
                  <c:v>0.93365022776787487</c:v>
                </c:pt>
                <c:pt idx="4">
                  <c:v>0.82200787936421693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4-4051-A2D5-CD58666959DA}"/>
            </c:ext>
          </c:extLst>
        </c:ser>
        <c:ser>
          <c:idx val="2"/>
          <c:order val="2"/>
          <c:tx>
            <c:strRef>
              <c:f>'FS &amp; Trend Analysis'!$A$109</c:f>
              <c:strCache>
                <c:ptCount val="1"/>
                <c:pt idx="0">
                  <c:v>Cash Ratio (Cash and equivalents/CL)</c:v>
                </c:pt>
              </c:strCache>
            </c:strRef>
          </c:tx>
          <c:spPr>
            <a:ln w="28440" cap="rnd">
              <a:solidFill>
                <a:srgbClr val="0020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Analysis'!$B$106:$F$106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Analysis'!$B$109:$F$109</c:f>
              <c:numCache>
                <c:formatCode>0.00</c:formatCode>
                <c:ptCount val="5"/>
                <c:pt idx="0">
                  <c:v>0.39232853867000206</c:v>
                </c:pt>
                <c:pt idx="1">
                  <c:v>0.39496547115170416</c:v>
                </c:pt>
                <c:pt idx="2">
                  <c:v>0.33325982689233141</c:v>
                </c:pt>
                <c:pt idx="3">
                  <c:v>4.476133887898593E-2</c:v>
                </c:pt>
                <c:pt idx="4">
                  <c:v>8.9118326314359449E-3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E4-4051-A2D5-CD5866695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6513083"/>
        <c:axId val="17365347"/>
      </c:lineChart>
      <c:dateAx>
        <c:axId val="56513083"/>
        <c:scaling>
          <c:orientation val="minMax"/>
        </c:scaling>
        <c:delete val="0"/>
        <c:axPos val="b"/>
        <c:numFmt formatCode="[$-F800]dddd&quot;, &quot;mmmm\ dd&quot;, &quot;yy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7365347"/>
        <c:crosses val="autoZero"/>
        <c:auto val="1"/>
        <c:lblOffset val="100"/>
        <c:baseTimeUnit val="years"/>
      </c:dateAx>
      <c:valAx>
        <c:axId val="17365347"/>
        <c:scaling>
          <c:orientation val="minMax"/>
        </c:scaling>
        <c:delete val="0"/>
        <c:axPos val="l"/>
        <c:numFmt formatCode="0.00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6513083"/>
        <c:crossesAt val="1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0" strike="noStrike" spc="-1">
                <a:solidFill>
                  <a:srgbClr val="000000"/>
                </a:solidFill>
                <a:latin typeface="Calibri"/>
                <a:ea typeface="Calibri"/>
              </a:rPr>
              <a:t>Leverage Ratios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Analysis'!$A$112</c:f>
              <c:strCache>
                <c:ptCount val="1"/>
                <c:pt idx="0">
                  <c:v>Total Debt  to Total Assets [(CL+LTD+OL)/Avg. TA]</c:v>
                </c:pt>
              </c:strCache>
            </c:strRef>
          </c:tx>
          <c:spPr>
            <a:ln w="28440" cap="rnd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Analysis'!$B$111:$F$111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Analysis'!$B$112:$F$112</c:f>
              <c:numCache>
                <c:formatCode>_ * #,##0.00_ ;_ * \-#,##0.00_ ;_ * \-??_ ;_ @_ </c:formatCode>
                <c:ptCount val="5"/>
                <c:pt idx="0">
                  <c:v>0.38695357760890831</c:v>
                </c:pt>
                <c:pt idx="1">
                  <c:v>0.4125319693094629</c:v>
                </c:pt>
                <c:pt idx="2">
                  <c:v>0.38526144123942513</c:v>
                </c:pt>
                <c:pt idx="3">
                  <c:v>0.41208450976270683</c:v>
                </c:pt>
                <c:pt idx="4">
                  <c:v>0.45427214345436107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1-4C6E-8138-73C287B05931}"/>
            </c:ext>
          </c:extLst>
        </c:ser>
        <c:ser>
          <c:idx val="1"/>
          <c:order val="1"/>
          <c:tx>
            <c:strRef>
              <c:f>'FS &amp; Trend Analysis'!$A$113</c:f>
              <c:strCache>
                <c:ptCount val="1"/>
                <c:pt idx="0">
                  <c:v>Long term Debt to Equity Ratio (LTD+OL)/Avg. SE)</c:v>
                </c:pt>
              </c:strCache>
            </c:strRef>
          </c:tx>
          <c:spPr>
            <a:ln w="28440" cap="rnd">
              <a:solidFill>
                <a:srgbClr val="0020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Analysis'!$B$111:$F$111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Analysis'!$B$113:$F$113</c:f>
              <c:numCache>
                <c:formatCode>0.00</c:formatCode>
                <c:ptCount val="5"/>
                <c:pt idx="0">
                  <c:v>4.1686746987951807E-2</c:v>
                </c:pt>
                <c:pt idx="1">
                  <c:v>4.7163455059964964E-2</c:v>
                </c:pt>
                <c:pt idx="2">
                  <c:v>2.3552198334301763E-2</c:v>
                </c:pt>
                <c:pt idx="3">
                  <c:v>1.7089600442927008E-2</c:v>
                </c:pt>
                <c:pt idx="4">
                  <c:v>3.3239830142028762E-2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F1-4C6E-8138-73C287B05931}"/>
            </c:ext>
          </c:extLst>
        </c:ser>
        <c:ser>
          <c:idx val="2"/>
          <c:order val="2"/>
          <c:tx>
            <c:strRef>
              <c:f>'FS &amp; Trend Analysis'!$A$114</c:f>
              <c:strCache>
                <c:ptCount val="1"/>
                <c:pt idx="0">
                  <c:v>Total Debt to Equity Ratio [(CL+LTD+OL)/Avg. SE]</c:v>
                </c:pt>
              </c:strCache>
            </c:strRef>
          </c:tx>
          <c:spPr>
            <a:ln w="28440" cap="rnd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Analysis'!$B$111:$F$111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Analysis'!$B$114:$F$114</c:f>
              <c:numCache>
                <c:formatCode>0.00</c:formatCode>
                <c:ptCount val="5"/>
                <c:pt idx="0">
                  <c:v>0.61963855421686742</c:v>
                </c:pt>
                <c:pt idx="1">
                  <c:v>0.65206845438620131</c:v>
                </c:pt>
                <c:pt idx="2">
                  <c:v>0.58567499515785404</c:v>
                </c:pt>
                <c:pt idx="3">
                  <c:v>0.66935498754267786</c:v>
                </c:pt>
                <c:pt idx="4">
                  <c:v>0.84937855487676439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F1-4C6E-8138-73C287B05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283629"/>
        <c:axId val="80974165"/>
      </c:lineChart>
      <c:dateAx>
        <c:axId val="76283629"/>
        <c:scaling>
          <c:orientation val="minMax"/>
        </c:scaling>
        <c:delete val="0"/>
        <c:axPos val="b"/>
        <c:numFmt formatCode="[$-F800]dddd&quot;, &quot;mmmm\ dd&quot;, &quot;yy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0974165"/>
        <c:crosses val="autoZero"/>
        <c:auto val="1"/>
        <c:lblOffset val="100"/>
        <c:baseTimeUnit val="years"/>
      </c:dateAx>
      <c:valAx>
        <c:axId val="80974165"/>
        <c:scaling>
          <c:orientation val="minMax"/>
        </c:scaling>
        <c:delete val="0"/>
        <c:axPos val="l"/>
        <c:numFmt formatCode="_(* #,##0.00_);_(* \(#,##0.0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6283629"/>
        <c:crossesAt val="1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0" strike="noStrike" spc="-1">
                <a:solidFill>
                  <a:srgbClr val="000000"/>
                </a:solidFill>
                <a:latin typeface="Calibri"/>
                <a:ea typeface="Calibri"/>
              </a:rPr>
              <a:t>Cash Performance Ratios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Analysis'!$A$142</c:f>
              <c:strCache>
                <c:ptCount val="1"/>
                <c:pt idx="0">
                  <c:v>Cash Return On Equity (Cash from operations/Avg. SE)</c:v>
                </c:pt>
              </c:strCache>
            </c:strRef>
          </c:tx>
          <c:spPr>
            <a:ln w="28440" cap="rnd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Analysis'!$B$141:$F$141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Analysis'!$B$142:$F$142</c:f>
              <c:numCache>
                <c:formatCode>0%</c:formatCode>
                <c:ptCount val="5"/>
                <c:pt idx="0">
                  <c:v>0.17867469879518072</c:v>
                </c:pt>
                <c:pt idx="1">
                  <c:v>0.21641288236086781</c:v>
                </c:pt>
                <c:pt idx="2">
                  <c:v>0.14131319000581058</c:v>
                </c:pt>
                <c:pt idx="3">
                  <c:v>0.10641321398911138</c:v>
                </c:pt>
                <c:pt idx="4">
                  <c:v>0.20207776656725027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59-4A3D-8711-959355E389C9}"/>
            </c:ext>
          </c:extLst>
        </c:ser>
        <c:ser>
          <c:idx val="1"/>
          <c:order val="1"/>
          <c:tx>
            <c:strRef>
              <c:f>'FS &amp; Trend Analysis'!$A$143</c:f>
              <c:strCache>
                <c:ptCount val="1"/>
                <c:pt idx="0">
                  <c:v>Cash Return On Assets (Cash from operations/Avg. TA)</c:v>
                </c:pt>
              </c:strCache>
            </c:strRef>
          </c:tx>
          <c:spPr>
            <a:ln w="28440" cap="rnd">
              <a:solidFill>
                <a:srgbClr val="0020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Analysis'!$B$141:$F$141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Analysis'!$B$143:$F$143</c:f>
              <c:numCache>
                <c:formatCode>0%</c:formatCode>
                <c:ptCount val="5"/>
                <c:pt idx="0">
                  <c:v>0.11157926416371981</c:v>
                </c:pt>
                <c:pt idx="1">
                  <c:v>0.13691389599317988</c:v>
                </c:pt>
                <c:pt idx="2">
                  <c:v>9.2956885128936906E-2</c:v>
                </c:pt>
                <c:pt idx="3">
                  <c:v>6.5512677032500702E-2</c:v>
                </c:pt>
                <c:pt idx="4">
                  <c:v>0.10807701658572454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59-4A3D-8711-959355E389C9}"/>
            </c:ext>
          </c:extLst>
        </c:ser>
        <c:ser>
          <c:idx val="2"/>
          <c:order val="2"/>
          <c:tx>
            <c:strRef>
              <c:f>'FS &amp; Trend Analysis'!$A$144</c:f>
              <c:strCache>
                <c:ptCount val="1"/>
                <c:pt idx="0">
                  <c:v>Cash Return  To Revenue (Cash from operations/Sales)</c:v>
                </c:pt>
              </c:strCache>
            </c:strRef>
          </c:tx>
          <c:spPr>
            <a:ln w="28440" cap="rnd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Analysis'!$B$141:$F$141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Analysis'!$B$144:$F$144</c:f>
              <c:numCache>
                <c:formatCode>0%</c:formatCode>
                <c:ptCount val="5"/>
                <c:pt idx="0">
                  <c:v>5.3381807710305602E-2</c:v>
                </c:pt>
                <c:pt idx="1">
                  <c:v>5.9970126960418223E-2</c:v>
                </c:pt>
                <c:pt idx="2">
                  <c:v>3.5921068179132695E-2</c:v>
                </c:pt>
                <c:pt idx="3">
                  <c:v>2.0907970121111032E-2</c:v>
                </c:pt>
                <c:pt idx="4">
                  <c:v>2.9613622331264421E-2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59-4A3D-8711-959355E38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5297"/>
        <c:axId val="54855276"/>
      </c:lineChart>
      <c:dateAx>
        <c:axId val="595297"/>
        <c:scaling>
          <c:orientation val="minMax"/>
        </c:scaling>
        <c:delete val="0"/>
        <c:axPos val="b"/>
        <c:numFmt formatCode="[$-F800]dddd&quot;, &quot;mmmm\ dd&quot;, &quot;yy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4855276"/>
        <c:crosses val="autoZero"/>
        <c:auto val="1"/>
        <c:lblOffset val="100"/>
        <c:baseTimeUnit val="years"/>
      </c:dateAx>
      <c:valAx>
        <c:axId val="5485527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95297"/>
        <c:crossesAt val="1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0" strike="noStrike" spc="-1">
                <a:solidFill>
                  <a:srgbClr val="000000"/>
                </a:solidFill>
                <a:latin typeface="Calibri"/>
                <a:ea typeface="Calibri"/>
              </a:rPr>
              <a:t>Interest Coverage Measures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Analysis'!$A$117</c:f>
              <c:strCache>
                <c:ptCount val="1"/>
                <c:pt idx="0">
                  <c:v>Cash coverage (Cash from Operations/Int. Exp.)</c:v>
                </c:pt>
              </c:strCache>
            </c:strRef>
          </c:tx>
          <c:spPr>
            <a:ln w="28440" cap="rnd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Analysis'!$B$116:$F$116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Analysis'!$B$117:$F$117</c:f>
              <c:numCache>
                <c:formatCode>0.00</c:formatCode>
                <c:ptCount val="5"/>
                <c:pt idx="0">
                  <c:v>9.386075949367088</c:v>
                </c:pt>
                <c:pt idx="1">
                  <c:v>18.04494382022472</c:v>
                </c:pt>
                <c:pt idx="2">
                  <c:v>12</c:v>
                </c:pt>
                <c:pt idx="3">
                  <c:v>5.5442307692307695</c:v>
                </c:pt>
                <c:pt idx="4">
                  <c:v>10.35568181818182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4-4A1F-8FF7-45BF73B4BFB5}"/>
            </c:ext>
          </c:extLst>
        </c:ser>
        <c:ser>
          <c:idx val="1"/>
          <c:order val="1"/>
          <c:tx>
            <c:strRef>
              <c:f>'FS &amp; Trend Analysis'!$A$118</c:f>
              <c:strCache>
                <c:ptCount val="1"/>
                <c:pt idx="0">
                  <c:v>Interest coverage (EBIT/Interest Exp.)</c:v>
                </c:pt>
              </c:strCache>
            </c:strRef>
          </c:tx>
          <c:spPr>
            <a:ln w="28440" cap="rnd">
              <a:solidFill>
                <a:srgbClr val="0020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Analysis'!$B$116:$F$116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Analysis'!$B$118:$F$118</c:f>
              <c:numCache>
                <c:formatCode>0.00</c:formatCode>
                <c:ptCount val="5"/>
                <c:pt idx="0">
                  <c:v>16.38607594936709</c:v>
                </c:pt>
                <c:pt idx="1">
                  <c:v>24.831460674157302</c:v>
                </c:pt>
                <c:pt idx="2">
                  <c:v>23.407894736842106</c:v>
                </c:pt>
                <c:pt idx="3">
                  <c:v>11.75</c:v>
                </c:pt>
                <c:pt idx="4">
                  <c:v>14.134090909090901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4-4A1F-8FF7-45BF73B4B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0103124"/>
        <c:axId val="40545845"/>
      </c:lineChart>
      <c:dateAx>
        <c:axId val="70103124"/>
        <c:scaling>
          <c:orientation val="minMax"/>
        </c:scaling>
        <c:delete val="0"/>
        <c:axPos val="b"/>
        <c:numFmt formatCode="[$-F800]dddd&quot;, &quot;mmmm\ dd&quot;, &quot;yy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0545845"/>
        <c:crosses val="autoZero"/>
        <c:auto val="1"/>
        <c:lblOffset val="100"/>
        <c:baseTimeUnit val="years"/>
      </c:dateAx>
      <c:valAx>
        <c:axId val="40545845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0103124"/>
        <c:crossesAt val="1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0" strike="noStrike" spc="-1">
                <a:solidFill>
                  <a:srgbClr val="000000"/>
                </a:solidFill>
                <a:latin typeface="Calibri"/>
                <a:ea typeface="Calibri"/>
              </a:rPr>
              <a:t>Activity Ratios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Analysis'!$A$128</c:f>
              <c:strCache>
                <c:ptCount val="1"/>
                <c:pt idx="0">
                  <c:v>Working Capital Turnover (Sales / Avg. WC)</c:v>
                </c:pt>
              </c:strCache>
            </c:strRef>
          </c:tx>
          <c:spPr>
            <a:ln w="28440" cap="rnd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Analysis'!$B$120:$F$120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Analysis'!$B$128:$F$128</c:f>
              <c:numCache>
                <c:formatCode>_ * #,##0.00_ ;_ * \-#,##0.00_ ;_ * \-??_ ;_ @_ </c:formatCode>
                <c:ptCount val="5"/>
                <c:pt idx="0">
                  <c:v>5.9520085698982328</c:v>
                </c:pt>
                <c:pt idx="1">
                  <c:v>6.9394418387706978</c:v>
                </c:pt>
                <c:pt idx="2">
                  <c:v>9.4283008708245912</c:v>
                </c:pt>
                <c:pt idx="3">
                  <c:v>15.737723628270604</c:v>
                </c:pt>
                <c:pt idx="4">
                  <c:v>25.70843776106932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0-4685-8483-0C99BC1E924C}"/>
            </c:ext>
          </c:extLst>
        </c:ser>
        <c:ser>
          <c:idx val="1"/>
          <c:order val="1"/>
          <c:tx>
            <c:strRef>
              <c:f>'FS &amp; Trend Analysis'!$A$129</c:f>
              <c:strCache>
                <c:ptCount val="1"/>
                <c:pt idx="0">
                  <c:v>Fixed Asset Turnover (Sales/Total Non-Current Assets)</c:v>
                </c:pt>
              </c:strCache>
            </c:strRef>
          </c:tx>
          <c:spPr>
            <a:ln w="28440" cap="rnd">
              <a:solidFill>
                <a:srgbClr val="0020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Analysis'!$B$120:$F$120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Analysis'!$B$129:$F$129</c:f>
              <c:numCache>
                <c:formatCode>_ * #,##0.00_ ;_ * \-#,##0.00_ ;_ * \-??_ ;_ @_ </c:formatCode>
                <c:ptCount val="5"/>
                <c:pt idx="0">
                  <c:v>6.842610837438424</c:v>
                </c:pt>
                <c:pt idx="1">
                  <c:v>6.8649064342476285</c:v>
                </c:pt>
                <c:pt idx="2">
                  <c:v>6.8176691729323311</c:v>
                </c:pt>
                <c:pt idx="3">
                  <c:v>8.2317473583666647</c:v>
                </c:pt>
                <c:pt idx="4">
                  <c:v>8.7101613359750925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0-4685-8483-0C99BC1E924C}"/>
            </c:ext>
          </c:extLst>
        </c:ser>
        <c:ser>
          <c:idx val="2"/>
          <c:order val="2"/>
          <c:tx>
            <c:strRef>
              <c:f>'FS &amp; Trend Analysis'!$A$130</c:f>
              <c:strCache>
                <c:ptCount val="1"/>
                <c:pt idx="0">
                  <c:v>Total Asset Turnover (Sales/Avg. TA)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Analysis'!$B$120:$F$120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Analysis'!$B$130:$F$130</c:f>
              <c:numCache>
                <c:formatCode>_ * #,##0.00_ ;_ * \-#,##0.00_ ;_ * \-??_ ;_ @_ </c:formatCode>
                <c:ptCount val="5"/>
                <c:pt idx="0">
                  <c:v>2.0902114212625085</c:v>
                </c:pt>
                <c:pt idx="1">
                  <c:v>2.2830349531116796</c:v>
                </c:pt>
                <c:pt idx="2">
                  <c:v>2.5878096014677401</c:v>
                </c:pt>
                <c:pt idx="3">
                  <c:v>3.1333829469342769</c:v>
                </c:pt>
                <c:pt idx="4">
                  <c:v>3.6495709770575013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B0-4685-8483-0C99BC1E9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6726887"/>
        <c:axId val="27966925"/>
      </c:lineChart>
      <c:dateAx>
        <c:axId val="56726887"/>
        <c:scaling>
          <c:orientation val="minMax"/>
        </c:scaling>
        <c:delete val="0"/>
        <c:axPos val="b"/>
        <c:numFmt formatCode="[$-F800]dddd&quot;, &quot;mmmm\ dd&quot;, &quot;yy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7966925"/>
        <c:crosses val="autoZero"/>
        <c:auto val="1"/>
        <c:lblOffset val="100"/>
        <c:baseTimeUnit val="years"/>
      </c:dateAx>
      <c:valAx>
        <c:axId val="27966925"/>
        <c:scaling>
          <c:orientation val="minMax"/>
        </c:scaling>
        <c:delete val="0"/>
        <c:axPos val="l"/>
        <c:numFmt formatCode="_(* #,##0.00_);_(* \(#,##0.0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6726887"/>
        <c:crossesAt val="1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9.5838747358611906E-2"/>
          <c:y val="0.65984479962937204"/>
          <c:w val="0.9"/>
          <c:h val="0.3401552003706280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0" strike="noStrike" spc="-1">
                <a:solidFill>
                  <a:srgbClr val="000000"/>
                </a:solidFill>
                <a:latin typeface="Calibri"/>
                <a:ea typeface="Calibri"/>
              </a:rPr>
              <a:t>Profitablity Ratios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Analysis'!$A$133</c:f>
              <c:strCache>
                <c:ptCount val="1"/>
                <c:pt idx="0">
                  <c:v>Net Profit Margin  (PAT/Sales)</c:v>
                </c:pt>
              </c:strCache>
            </c:strRef>
          </c:tx>
          <c:spPr>
            <a:ln w="28440" cap="rnd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Analysis'!$B$132:$F$132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Analysis'!$B$133:$F$133</c:f>
              <c:numCache>
                <c:formatCode>0%</c:formatCode>
                <c:ptCount val="5"/>
                <c:pt idx="0">
                  <c:v>6.5872358806378456E-2</c:v>
                </c:pt>
                <c:pt idx="1">
                  <c:v>5.8177744585511573E-2</c:v>
                </c:pt>
                <c:pt idx="2">
                  <c:v>5.1675922643664579E-2</c:v>
                </c:pt>
                <c:pt idx="3">
                  <c:v>3.8146348538690263E-2</c:v>
                </c:pt>
                <c:pt idx="4">
                  <c:v>2.7290156955772894E-2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7-40E3-9FB6-285AF6012355}"/>
            </c:ext>
          </c:extLst>
        </c:ser>
        <c:ser>
          <c:idx val="1"/>
          <c:order val="1"/>
          <c:tx>
            <c:strRef>
              <c:f>'FS &amp; Trend Analysis'!$A$134</c:f>
              <c:strCache>
                <c:ptCount val="1"/>
                <c:pt idx="0">
                  <c:v>Gross Profit Margin (Sales - RM-Excise duty)/Sales</c:v>
                </c:pt>
              </c:strCache>
            </c:strRef>
          </c:tx>
          <c:spPr>
            <a:ln w="28440" cap="rnd">
              <a:solidFill>
                <a:srgbClr val="0020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Analysis'!$B$132:$F$132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Analysis'!$B$134:$F$134</c:f>
              <c:numCache>
                <c:formatCode>0%</c:formatCode>
                <c:ptCount val="5"/>
                <c:pt idx="0">
                  <c:v>0.23217306792412079</c:v>
                </c:pt>
                <c:pt idx="1">
                  <c:v>0.22890216579536968</c:v>
                </c:pt>
                <c:pt idx="2">
                  <c:v>0.21418724644531095</c:v>
                </c:pt>
                <c:pt idx="3">
                  <c:v>0.18264558706215098</c:v>
                </c:pt>
                <c:pt idx="4">
                  <c:v>0.15061904916647711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7-40E3-9FB6-285AF6012355}"/>
            </c:ext>
          </c:extLst>
        </c:ser>
        <c:ser>
          <c:idx val="2"/>
          <c:order val="2"/>
          <c:tx>
            <c:strRef>
              <c:f>'FS &amp; Trend Analysis'!$A$135</c:f>
              <c:strCache>
                <c:ptCount val="1"/>
                <c:pt idx="0">
                  <c:v>Return On Total Assets                                                                      [PAT + Int. Exp. (1-tax rate)]/Total Average Assets</c:v>
                </c:pt>
              </c:strCache>
            </c:strRef>
          </c:tx>
          <c:spPr>
            <a:ln w="2844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Analysis'!$B$132:$F$132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Analysis'!$B$135:$F$135</c:f>
              <c:numCache>
                <c:formatCode>0%</c:formatCode>
                <c:ptCount val="5"/>
                <c:pt idx="0">
                  <c:v>0.14698398183463265</c:v>
                </c:pt>
                <c:pt idx="1">
                  <c:v>0.13857140724670852</c:v>
                </c:pt>
                <c:pt idx="2">
                  <c:v>0.13975549510904373</c:v>
                </c:pt>
                <c:pt idx="3">
                  <c:v>0.1291708885744981</c:v>
                </c:pt>
                <c:pt idx="4">
                  <c:v>0.10836368615049739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7-40E3-9FB6-285AF6012355}"/>
            </c:ext>
          </c:extLst>
        </c:ser>
        <c:ser>
          <c:idx val="3"/>
          <c:order val="3"/>
          <c:tx>
            <c:strRef>
              <c:f>'FS &amp; Trend Analysis'!$A$136</c:f>
              <c:strCache>
                <c:ptCount val="1"/>
                <c:pt idx="0">
                  <c:v>Return On Equity [PAT/Avg. SE]</c:v>
                </c:pt>
              </c:strCache>
            </c:strRef>
          </c:tx>
          <c:spPr>
            <a:ln w="28440" cap="rnd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Analysis'!$B$132:$F$132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Analysis'!$B$136:$F$136</c:f>
              <c:numCache>
                <c:formatCode>0%</c:formatCode>
                <c:ptCount val="5"/>
                <c:pt idx="0">
                  <c:v>0.22048192771084338</c:v>
                </c:pt>
                <c:pt idx="1">
                  <c:v>0.20994475138121546</c:v>
                </c:pt>
                <c:pt idx="2">
                  <c:v>0.2032926593066047</c:v>
                </c:pt>
                <c:pt idx="3">
                  <c:v>0.19414967241856601</c:v>
                </c:pt>
                <c:pt idx="4">
                  <c:v>0.18622287760690948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97-40E3-9FB6-285AF6012355}"/>
            </c:ext>
          </c:extLst>
        </c:ser>
        <c:ser>
          <c:idx val="4"/>
          <c:order val="4"/>
          <c:tx>
            <c:strRef>
              <c:f>'FS &amp; Trend Analysis'!$A$137</c:f>
              <c:strCache>
                <c:ptCount val="1"/>
                <c:pt idx="0">
                  <c:v>Dividend Payout Ratio (Dividend paid/PAT for SE)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'FS &amp; Trend Analysis'!$B$132:$F$132</c:f>
              <c:numCache>
                <c:formatCode>[$-F800]dddd", "mmmm\ dd", "yyyy</c:formatCode>
                <c:ptCount val="5"/>
                <c:pt idx="0">
                  <c:v>46112</c:v>
                </c:pt>
                <c:pt idx="1">
                  <c:v>45747</c:v>
                </c:pt>
                <c:pt idx="2">
                  <c:v>45382</c:v>
                </c:pt>
                <c:pt idx="3">
                  <c:v>45016</c:v>
                </c:pt>
                <c:pt idx="4">
                  <c:v>44651</c:v>
                </c:pt>
              </c:numCache>
            </c:numRef>
          </c:cat>
          <c:val>
            <c:numRef>
              <c:f>'FS &amp; Trend Analysis'!$B$137:$F$137</c:f>
              <c:numCache>
                <c:formatCode>0%</c:formatCode>
                <c:ptCount val="5"/>
                <c:pt idx="0">
                  <c:v>0.69016393442622948</c:v>
                </c:pt>
                <c:pt idx="1">
                  <c:v>0.22464698331193839</c:v>
                </c:pt>
                <c:pt idx="2">
                  <c:v>0.22179878048780488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97-40E3-9FB6-285AF6012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100699"/>
        <c:axId val="16611295"/>
      </c:lineChart>
      <c:dateAx>
        <c:axId val="32100699"/>
        <c:scaling>
          <c:orientation val="minMax"/>
        </c:scaling>
        <c:delete val="0"/>
        <c:axPos val="b"/>
        <c:numFmt formatCode="[$-F800]dddd&quot;, &quot;mmmm\ dd&quot;, &quot;yy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6611295"/>
        <c:crosses val="autoZero"/>
        <c:auto val="1"/>
        <c:lblOffset val="100"/>
        <c:baseTimeUnit val="years"/>
      </c:dateAx>
      <c:valAx>
        <c:axId val="1661129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2100699"/>
        <c:crossesAt val="1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6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600" b="1" strike="noStrike" spc="-1">
                <a:solidFill>
                  <a:srgbClr val="000000"/>
                </a:solidFill>
                <a:latin typeface="Calibri"/>
                <a:ea typeface="Calibri"/>
              </a:rPr>
              <a:t>Shareholding Pattern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6283CB"/>
                  </a:gs>
                  <a:gs pos="50000">
                    <a:srgbClr val="3D6FC9"/>
                  </a:gs>
                  <a:gs pos="100000">
                    <a:srgbClr val="3162B9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B2F-4BF8-9AFA-E4613925B1D0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F18C59"/>
                  </a:gs>
                  <a:gs pos="50000">
                    <a:srgbClr val="F57A27"/>
                  </a:gs>
                  <a:gs pos="100000">
                    <a:srgbClr val="E36C1A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B2F-4BF8-9AFA-E4613925B1D0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AFAFAF"/>
                  </a:gs>
                  <a:gs pos="50000">
                    <a:srgbClr val="A4A4A4"/>
                  </a:gs>
                  <a:gs pos="100000">
                    <a:srgbClr val="939393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B2F-4BF8-9AFA-E4613925B1D0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FFC652"/>
                  </a:gs>
                  <a:gs pos="50000">
                    <a:srgbClr val="FFBF00"/>
                  </a:gs>
                  <a:gs pos="100000">
                    <a:srgbClr val="E2AA00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B2F-4BF8-9AFA-E4613925B1D0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73A6DA"/>
                  </a:gs>
                  <a:gs pos="50000">
                    <a:srgbClr val="559ADA"/>
                  </a:gs>
                  <a:gs pos="100000">
                    <a:srgbClr val="448AC9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B2F-4BF8-9AFA-E4613925B1D0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rgbClr val="82B664"/>
                  </a:gs>
                  <a:gs pos="50000">
                    <a:srgbClr val="6EB142"/>
                  </a:gs>
                  <a:gs pos="100000">
                    <a:srgbClr val="61A335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B2F-4BF8-9AFA-E4613925B1D0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rgbClr val="6283CB"/>
                  </a:gs>
                  <a:gs pos="50000">
                    <a:srgbClr val="3D6FC9"/>
                  </a:gs>
                  <a:gs pos="100000">
                    <a:srgbClr val="3162B9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9B2F-4BF8-9AFA-E4613925B1D0}"/>
              </c:ext>
            </c:extLst>
          </c:dPt>
          <c:dPt>
            <c:idx val="7"/>
            <c:bubble3D val="0"/>
            <c:spPr>
              <a:gradFill>
                <a:gsLst>
                  <a:gs pos="0">
                    <a:srgbClr val="F18C59"/>
                  </a:gs>
                  <a:gs pos="50000">
                    <a:srgbClr val="F57A27"/>
                  </a:gs>
                  <a:gs pos="100000">
                    <a:srgbClr val="E36C1A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9B2F-4BF8-9AFA-E4613925B1D0}"/>
              </c:ext>
            </c:extLst>
          </c:dPt>
          <c:dPt>
            <c:idx val="8"/>
            <c:bubble3D val="0"/>
            <c:spPr>
              <a:gradFill>
                <a:gsLst>
                  <a:gs pos="0">
                    <a:srgbClr val="AFAFAF"/>
                  </a:gs>
                  <a:gs pos="50000">
                    <a:srgbClr val="A4A4A4"/>
                  </a:gs>
                  <a:gs pos="100000">
                    <a:srgbClr val="939393"/>
                  </a:gs>
                </a:gsLst>
                <a:lin ang="54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9B2F-4BF8-9AFA-E4613925B1D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2F-4BF8-9AFA-E4613925B1D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2F-4BF8-9AFA-E4613925B1D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2F-4BF8-9AFA-E4613925B1D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2F-4BF8-9AFA-E4613925B1D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2F-4BF8-9AFA-E4613925B1D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2F-4BF8-9AFA-E4613925B1D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2F-4BF8-9AFA-E4613925B1D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2F-4BF8-9AFA-E4613925B1D0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B2F-4BF8-9AFA-E4613925B1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Shareholding!$A$2:$A$10</c:f>
              <c:strCache>
                <c:ptCount val="9"/>
                <c:pt idx="0">
                  <c:v>Promoter Group</c:v>
                </c:pt>
                <c:pt idx="1">
                  <c:v>Foreign Institutional Investors (FII)</c:v>
                </c:pt>
                <c:pt idx="2">
                  <c:v>Non Resident Indians (NRIs)</c:v>
                </c:pt>
                <c:pt idx="3">
                  <c:v>Indian Public</c:v>
                </c:pt>
                <c:pt idx="4">
                  <c:v>Insurance companies</c:v>
                </c:pt>
                <c:pt idx="5">
                  <c:v>Mutual Funds / UTI</c:v>
                </c:pt>
                <c:pt idx="6">
                  <c:v>Bodies Corporate</c:v>
                </c:pt>
                <c:pt idx="7">
                  <c:v>Financial Institutions / Banks</c:v>
                </c:pt>
                <c:pt idx="8">
                  <c:v>Others</c:v>
                </c:pt>
              </c:strCache>
            </c:strRef>
          </c:cat>
          <c:val>
            <c:numRef>
              <c:f>Shareholding!$B$2:$B$10</c:f>
              <c:numCache>
                <c:formatCode>0.00%</c:formatCode>
                <c:ptCount val="9"/>
                <c:pt idx="0">
                  <c:v>0.34599999999999997</c:v>
                </c:pt>
                <c:pt idx="1">
                  <c:v>0.34300000000000003</c:v>
                </c:pt>
                <c:pt idx="2">
                  <c:v>4.0000000000000001E-3</c:v>
                </c:pt>
                <c:pt idx="3">
                  <c:v>8.3000000000000004E-2</c:v>
                </c:pt>
                <c:pt idx="4">
                  <c:v>8.3000000000000004E-2</c:v>
                </c:pt>
                <c:pt idx="5">
                  <c:v>8.2000000000000003E-2</c:v>
                </c:pt>
                <c:pt idx="6">
                  <c:v>1.4E-2</c:v>
                </c:pt>
                <c:pt idx="7">
                  <c:v>0.02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B2F-4BF8-9AFA-E4613925B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1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1058760</xdr:colOff>
      <xdr:row>106</xdr:row>
      <xdr:rowOff>159840</xdr:rowOff>
    </xdr:from>
    <xdr:to>
      <xdr:col>11</xdr:col>
      <xdr:colOff>121380</xdr:colOff>
      <xdr:row>119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510480</xdr:colOff>
      <xdr:row>122</xdr:row>
      <xdr:rowOff>159840</xdr:rowOff>
    </xdr:from>
    <xdr:to>
      <xdr:col>10</xdr:col>
      <xdr:colOff>730800</xdr:colOff>
      <xdr:row>141</xdr:row>
      <xdr:rowOff>166320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1318320</xdr:colOff>
      <xdr:row>144</xdr:row>
      <xdr:rowOff>144720</xdr:rowOff>
    </xdr:from>
    <xdr:to>
      <xdr:col>12</xdr:col>
      <xdr:colOff>213180</xdr:colOff>
      <xdr:row>160</xdr:row>
      <xdr:rowOff>144360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510480</xdr:colOff>
      <xdr:row>148</xdr:row>
      <xdr:rowOff>83880</xdr:rowOff>
    </xdr:from>
    <xdr:to>
      <xdr:col>8</xdr:col>
      <xdr:colOff>646920</xdr:colOff>
      <xdr:row>160</xdr:row>
      <xdr:rowOff>83160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1569600</xdr:colOff>
      <xdr:row>162</xdr:row>
      <xdr:rowOff>91440</xdr:rowOff>
    </xdr:from>
    <xdr:to>
      <xdr:col>8</xdr:col>
      <xdr:colOff>822600</xdr:colOff>
      <xdr:row>184</xdr:row>
      <xdr:rowOff>144360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149</xdr:row>
      <xdr:rowOff>0</xdr:rowOff>
    </xdr:from>
    <xdr:to>
      <xdr:col>4</xdr:col>
      <xdr:colOff>235800</xdr:colOff>
      <xdr:row>170</xdr:row>
      <xdr:rowOff>45360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533520</xdr:colOff>
      <xdr:row>2</xdr:row>
      <xdr:rowOff>480240</xdr:rowOff>
    </xdr:from>
    <xdr:to>
      <xdr:col>15</xdr:col>
      <xdr:colOff>227880</xdr:colOff>
      <xdr:row>12</xdr:row>
      <xdr:rowOff>151920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9"/>
  <sheetViews>
    <sheetView showGridLines="0" tabSelected="1" topLeftCell="A94" zoomScaleNormal="100" workbookViewId="0">
      <pane xSplit="1" topLeftCell="B1" activePane="topRight" state="frozen"/>
      <selection activeCell="A142" sqref="A142"/>
      <selection pane="topRight" activeCell="E87" sqref="E87"/>
    </sheetView>
  </sheetViews>
  <sheetFormatPr defaultColWidth="14.44140625" defaultRowHeight="14.4" x14ac:dyDescent="0.3"/>
  <cols>
    <col min="1" max="1" width="65.109375" style="1" customWidth="1"/>
    <col min="2" max="2" width="26.5546875" style="2" customWidth="1"/>
    <col min="3" max="3" width="25" style="2" customWidth="1"/>
    <col min="4" max="4" width="26.109375" style="2" customWidth="1"/>
    <col min="5" max="5" width="29.33203125" style="2" customWidth="1"/>
    <col min="6" max="7" width="27.109375" style="2" customWidth="1"/>
    <col min="8" max="8" width="8.88671875" style="1" customWidth="1"/>
    <col min="9" max="9" width="40.33203125" style="1" bestFit="1" customWidth="1"/>
    <col min="10" max="14" width="14.5546875" style="1" customWidth="1"/>
    <col min="15" max="16384" width="14.44140625" style="1"/>
  </cols>
  <sheetData>
    <row r="1" spans="1:15" ht="14.25" customHeight="1" x14ac:dyDescent="0.3"/>
    <row r="2" spans="1:15" ht="14.25" customHeight="1" x14ac:dyDescent="0.3">
      <c r="A2" s="3" t="s">
        <v>0</v>
      </c>
      <c r="I2" s="3" t="s">
        <v>1</v>
      </c>
      <c r="J2" s="4"/>
    </row>
    <row r="3" spans="1:15" ht="14.25" customHeight="1" x14ac:dyDescent="0.3"/>
    <row r="4" spans="1:15" ht="14.25" customHeight="1" x14ac:dyDescent="0.3">
      <c r="A4" s="5" t="s">
        <v>2</v>
      </c>
      <c r="I4" s="6" t="s">
        <v>2</v>
      </c>
    </row>
    <row r="5" spans="1:15" ht="14.25" customHeight="1" x14ac:dyDescent="0.3">
      <c r="A5" s="7" t="s">
        <v>3</v>
      </c>
      <c r="B5" s="8">
        <v>46112</v>
      </c>
      <c r="C5" s="8">
        <v>45747</v>
      </c>
      <c r="D5" s="8">
        <v>45382</v>
      </c>
      <c r="E5" s="8">
        <v>45016</v>
      </c>
      <c r="F5" s="8">
        <v>44651</v>
      </c>
      <c r="G5" s="8">
        <v>44286</v>
      </c>
      <c r="H5" s="9"/>
      <c r="I5" s="7" t="s">
        <v>4</v>
      </c>
      <c r="J5" s="8">
        <v>46112</v>
      </c>
      <c r="K5" s="8">
        <v>45747</v>
      </c>
      <c r="L5" s="8">
        <v>45382</v>
      </c>
      <c r="M5" s="8">
        <v>45016</v>
      </c>
      <c r="N5" s="8">
        <v>44651</v>
      </c>
      <c r="O5" s="8">
        <v>44286</v>
      </c>
    </row>
    <row r="6" spans="1:15" ht="14.25" customHeight="1" x14ac:dyDescent="0.3">
      <c r="A6" s="10" t="s">
        <v>5</v>
      </c>
      <c r="B6" s="11">
        <v>27781</v>
      </c>
      <c r="C6" s="11">
        <v>26780</v>
      </c>
      <c r="D6" s="11">
        <v>25389</v>
      </c>
      <c r="E6" s="11">
        <v>27578</v>
      </c>
      <c r="F6" s="12">
        <v>30773</v>
      </c>
      <c r="G6" s="13">
        <v>27176.400000000001</v>
      </c>
      <c r="I6" s="10" t="s">
        <v>5</v>
      </c>
      <c r="J6" s="99">
        <f t="shared" ref="J6:N6" si="0">B6/$G6</f>
        <v>1.0222472439322352</v>
      </c>
      <c r="K6" s="99">
        <f t="shared" si="0"/>
        <v>0.98541381492765778</v>
      </c>
      <c r="L6" s="99">
        <f t="shared" si="0"/>
        <v>0.93422969929792021</v>
      </c>
      <c r="M6" s="99">
        <f t="shared" si="0"/>
        <v>1.0147775275606776</v>
      </c>
      <c r="N6" s="99">
        <f t="shared" si="0"/>
        <v>1.1323427679898734</v>
      </c>
      <c r="O6" s="99">
        <f>G6/$G6</f>
        <v>1</v>
      </c>
    </row>
    <row r="7" spans="1:15" ht="14.25" customHeight="1" x14ac:dyDescent="0.3">
      <c r="A7" s="10" t="s">
        <v>6</v>
      </c>
      <c r="B7" s="14">
        <v>576</v>
      </c>
      <c r="C7" s="14">
        <v>426</v>
      </c>
      <c r="D7" s="14">
        <v>335</v>
      </c>
      <c r="E7" s="14">
        <v>74</v>
      </c>
      <c r="F7" s="15">
        <v>34</v>
      </c>
      <c r="G7" s="13">
        <v>47.8</v>
      </c>
      <c r="H7" s="16"/>
      <c r="I7" s="10" t="s">
        <v>6</v>
      </c>
      <c r="J7" s="99">
        <f t="shared" ref="J7:J32" si="1">B7/$G7</f>
        <v>12.050209205020922</v>
      </c>
      <c r="K7" s="99">
        <f t="shared" ref="K7:K32" si="2">C7/$G7</f>
        <v>8.9121338912133901</v>
      </c>
      <c r="L7" s="99">
        <f t="shared" ref="L7:L32" si="3">D7/$G7</f>
        <v>7.0083682008368209</v>
      </c>
      <c r="M7" s="99">
        <f t="shared" ref="M7:M32" si="4">E7/$G7</f>
        <v>1.5481171548117156</v>
      </c>
      <c r="N7" s="99">
        <f t="shared" ref="N7:N32" si="5">F7/$G7</f>
        <v>0.71129707112970719</v>
      </c>
      <c r="O7" s="99">
        <f t="shared" ref="O7:O32" si="6">G7/$G7</f>
        <v>1</v>
      </c>
    </row>
    <row r="8" spans="1:15" ht="14.25" customHeight="1" x14ac:dyDescent="0.3">
      <c r="A8" s="17" t="s">
        <v>7</v>
      </c>
      <c r="B8" s="18">
        <f t="shared" ref="B8:G8" si="7">SUM(B6:B7)</f>
        <v>28357</v>
      </c>
      <c r="C8" s="18">
        <f t="shared" si="7"/>
        <v>27206</v>
      </c>
      <c r="D8" s="18">
        <f t="shared" si="7"/>
        <v>25724</v>
      </c>
      <c r="E8" s="18">
        <f t="shared" si="7"/>
        <v>27652</v>
      </c>
      <c r="F8" s="19">
        <f t="shared" si="7"/>
        <v>30807</v>
      </c>
      <c r="G8" s="20">
        <f t="shared" si="7"/>
        <v>27224.2</v>
      </c>
      <c r="I8" s="17" t="s">
        <v>7</v>
      </c>
      <c r="J8" s="99">
        <f t="shared" si="1"/>
        <v>1.0416100381278421</v>
      </c>
      <c r="K8" s="99">
        <f t="shared" si="2"/>
        <v>0.99933147714166071</v>
      </c>
      <c r="L8" s="99">
        <f t="shared" si="3"/>
        <v>0.94489461581974854</v>
      </c>
      <c r="M8" s="99">
        <f t="shared" si="4"/>
        <v>1.0157139603734913</v>
      </c>
      <c r="N8" s="99">
        <f t="shared" si="5"/>
        <v>1.1316034998273594</v>
      </c>
      <c r="O8" s="99">
        <f t="shared" si="6"/>
        <v>1</v>
      </c>
    </row>
    <row r="9" spans="1:15" ht="14.25" customHeight="1" x14ac:dyDescent="0.3">
      <c r="A9" s="10"/>
      <c r="B9" s="21"/>
      <c r="C9" s="21"/>
      <c r="D9" s="21"/>
      <c r="E9" s="21"/>
      <c r="F9" s="22"/>
      <c r="G9" s="11"/>
      <c r="I9" s="10"/>
      <c r="J9" s="99"/>
      <c r="K9" s="99"/>
      <c r="L9" s="99"/>
      <c r="M9" s="99"/>
      <c r="N9" s="99"/>
      <c r="O9" s="99"/>
    </row>
    <row r="10" spans="1:15" ht="14.25" customHeight="1" x14ac:dyDescent="0.3">
      <c r="A10" s="17" t="s">
        <v>8</v>
      </c>
      <c r="B10" s="21"/>
      <c r="C10" s="21"/>
      <c r="D10" s="21"/>
      <c r="E10" s="21"/>
      <c r="F10" s="22"/>
      <c r="G10" s="11"/>
      <c r="I10" s="17" t="s">
        <v>8</v>
      </c>
      <c r="J10" s="99"/>
      <c r="K10" s="99"/>
      <c r="L10" s="99"/>
      <c r="M10" s="99"/>
      <c r="N10" s="99"/>
      <c r="O10" s="99"/>
    </row>
    <row r="11" spans="1:15" ht="14.25" customHeight="1" x14ac:dyDescent="0.3">
      <c r="A11" s="23" t="s">
        <v>9</v>
      </c>
      <c r="B11" s="11">
        <v>5998</v>
      </c>
      <c r="C11" s="11">
        <v>5443</v>
      </c>
      <c r="D11" s="11">
        <v>5254</v>
      </c>
      <c r="E11" s="11">
        <v>5337</v>
      </c>
      <c r="F11" s="12">
        <v>4789</v>
      </c>
      <c r="G11" s="13">
        <v>3988.6</v>
      </c>
      <c r="I11" s="23" t="s">
        <v>9</v>
      </c>
      <c r="J11" s="99">
        <f t="shared" si="1"/>
        <v>1.5037857895000752</v>
      </c>
      <c r="K11" s="99">
        <f t="shared" si="2"/>
        <v>1.3646392217820789</v>
      </c>
      <c r="L11" s="99">
        <f t="shared" si="3"/>
        <v>1.3172541743970316</v>
      </c>
      <c r="M11" s="99">
        <f t="shared" si="4"/>
        <v>1.3380634809206238</v>
      </c>
      <c r="N11" s="99">
        <f t="shared" si="5"/>
        <v>1.2006719149576293</v>
      </c>
      <c r="O11" s="99">
        <f t="shared" si="6"/>
        <v>1</v>
      </c>
    </row>
    <row r="12" spans="1:15" ht="14.25" customHeight="1" x14ac:dyDescent="0.3">
      <c r="A12" s="23" t="s">
        <v>11</v>
      </c>
      <c r="B12" s="14">
        <v>808</v>
      </c>
      <c r="C12" s="14">
        <v>864</v>
      </c>
      <c r="D12" s="14">
        <v>675</v>
      </c>
      <c r="E12" s="14">
        <v>864</v>
      </c>
      <c r="F12" s="12">
        <v>577</v>
      </c>
      <c r="G12" s="13">
        <v>349.4</v>
      </c>
      <c r="I12" s="23" t="s">
        <v>11</v>
      </c>
      <c r="J12" s="99">
        <f t="shared" si="1"/>
        <v>2.3125357756153408</v>
      </c>
      <c r="K12" s="99">
        <f t="shared" si="2"/>
        <v>2.4728105323411564</v>
      </c>
      <c r="L12" s="99">
        <f t="shared" si="3"/>
        <v>1.9318832283915284</v>
      </c>
      <c r="M12" s="99">
        <f t="shared" si="4"/>
        <v>2.4728105323411564</v>
      </c>
      <c r="N12" s="99">
        <f t="shared" si="5"/>
        <v>1.6514024041213511</v>
      </c>
      <c r="O12" s="99">
        <f t="shared" si="6"/>
        <v>1</v>
      </c>
    </row>
    <row r="13" spans="1:15" ht="14.25" customHeight="1" x14ac:dyDescent="0.3">
      <c r="A13" s="23" t="s">
        <v>13</v>
      </c>
      <c r="B13" s="14">
        <v>-140</v>
      </c>
      <c r="C13" s="14">
        <v>90</v>
      </c>
      <c r="D13" s="14">
        <v>119</v>
      </c>
      <c r="E13" s="14">
        <v>-129</v>
      </c>
      <c r="F13" s="15">
        <v>-82.8</v>
      </c>
      <c r="G13" s="13">
        <v>130.19999999999999</v>
      </c>
      <c r="I13" s="23" t="s">
        <v>13</v>
      </c>
      <c r="J13" s="99">
        <f t="shared" si="1"/>
        <v>-1.0752688172043012</v>
      </c>
      <c r="K13" s="99">
        <f t="shared" si="2"/>
        <v>0.69124423963133652</v>
      </c>
      <c r="L13" s="99">
        <f t="shared" si="3"/>
        <v>0.91397849462365599</v>
      </c>
      <c r="M13" s="99">
        <f t="shared" si="4"/>
        <v>-0.99078341013824889</v>
      </c>
      <c r="N13" s="99">
        <f t="shared" si="5"/>
        <v>-0.63594470046082952</v>
      </c>
      <c r="O13" s="99">
        <f t="shared" si="6"/>
        <v>1</v>
      </c>
    </row>
    <row r="14" spans="1:15" ht="14.25" customHeight="1" x14ac:dyDescent="0.3">
      <c r="A14" s="23" t="s">
        <v>15</v>
      </c>
      <c r="B14" s="11">
        <v>15333</v>
      </c>
      <c r="C14" s="11">
        <v>15207</v>
      </c>
      <c r="D14" s="11">
        <v>14697</v>
      </c>
      <c r="E14" s="11">
        <v>17204</v>
      </c>
      <c r="F14" s="12">
        <v>21349</v>
      </c>
      <c r="G14" s="13">
        <v>19287.2</v>
      </c>
      <c r="I14" s="23" t="s">
        <v>15</v>
      </c>
      <c r="J14" s="99">
        <f t="shared" si="1"/>
        <v>0.79498320129412248</v>
      </c>
      <c r="K14" s="99">
        <f t="shared" si="2"/>
        <v>0.78845037123066075</v>
      </c>
      <c r="L14" s="99">
        <f t="shared" si="3"/>
        <v>0.7620079638309345</v>
      </c>
      <c r="M14" s="99">
        <f t="shared" si="4"/>
        <v>0.89199054295076519</v>
      </c>
      <c r="N14" s="99">
        <f t="shared" si="5"/>
        <v>1.1068999128955992</v>
      </c>
      <c r="O14" s="99">
        <f t="shared" si="6"/>
        <v>1</v>
      </c>
    </row>
    <row r="15" spans="1:15" ht="14.25" customHeight="1" x14ac:dyDescent="0.3">
      <c r="A15" s="23" t="s">
        <v>17</v>
      </c>
      <c r="B15" s="14">
        <v>623</v>
      </c>
      <c r="C15" s="14">
        <v>605</v>
      </c>
      <c r="D15" s="14">
        <v>543</v>
      </c>
      <c r="E15" s="14">
        <v>607</v>
      </c>
      <c r="F15" s="12">
        <v>650</v>
      </c>
      <c r="G15" s="13">
        <v>540.4</v>
      </c>
      <c r="I15" s="23" t="s">
        <v>17</v>
      </c>
      <c r="J15" s="99">
        <f t="shared" si="1"/>
        <v>1.1528497409326426</v>
      </c>
      <c r="K15" s="99">
        <f t="shared" si="2"/>
        <v>1.1195410806809771</v>
      </c>
      <c r="L15" s="99">
        <f t="shared" si="3"/>
        <v>1.0048112509252407</v>
      </c>
      <c r="M15" s="99">
        <f t="shared" si="4"/>
        <v>1.1232420429311623</v>
      </c>
      <c r="N15" s="99">
        <f t="shared" si="5"/>
        <v>1.2028127313101407</v>
      </c>
      <c r="O15" s="99">
        <f t="shared" si="6"/>
        <v>1</v>
      </c>
    </row>
    <row r="16" spans="1:15" ht="14.25" customHeight="1" x14ac:dyDescent="0.3">
      <c r="A16" s="23" t="s">
        <v>19</v>
      </c>
      <c r="B16" s="11">
        <v>1295</v>
      </c>
      <c r="C16" s="11">
        <v>1128</v>
      </c>
      <c r="D16" s="11">
        <v>1041</v>
      </c>
      <c r="E16" s="14">
        <v>920</v>
      </c>
      <c r="F16" s="12">
        <v>689</v>
      </c>
      <c r="G16" s="13">
        <v>571.6</v>
      </c>
      <c r="I16" s="23" t="s">
        <v>19</v>
      </c>
      <c r="J16" s="99">
        <f t="shared" si="1"/>
        <v>2.2655703289013296</v>
      </c>
      <c r="K16" s="99">
        <f t="shared" si="2"/>
        <v>1.9734079776067179</v>
      </c>
      <c r="L16" s="99">
        <f t="shared" si="3"/>
        <v>1.8212036389083275</v>
      </c>
      <c r="M16" s="99">
        <f t="shared" si="4"/>
        <v>1.6095171448565431</v>
      </c>
      <c r="N16" s="99">
        <f t="shared" si="5"/>
        <v>1.2053883834849544</v>
      </c>
      <c r="O16" s="99">
        <f t="shared" si="6"/>
        <v>1</v>
      </c>
    </row>
    <row r="17" spans="1:15" ht="14.25" customHeight="1" x14ac:dyDescent="0.3">
      <c r="A17" s="23" t="s">
        <v>20</v>
      </c>
      <c r="B17" s="11">
        <v>1568</v>
      </c>
      <c r="C17" s="11">
        <v>1385</v>
      </c>
      <c r="D17" s="11">
        <v>1352</v>
      </c>
      <c r="E17" s="11">
        <v>1356</v>
      </c>
      <c r="F17" s="12">
        <v>1303</v>
      </c>
      <c r="G17" s="13">
        <v>1272.9000000000001</v>
      </c>
      <c r="I17" s="23" t="s">
        <v>20</v>
      </c>
      <c r="J17" s="99">
        <f t="shared" si="1"/>
        <v>1.2318328226883493</v>
      </c>
      <c r="K17" s="99">
        <f t="shared" si="2"/>
        <v>1.0880666195302064</v>
      </c>
      <c r="L17" s="99">
        <f t="shared" si="3"/>
        <v>1.0621415665016889</v>
      </c>
      <c r="M17" s="99">
        <f t="shared" si="4"/>
        <v>1.0652839971718122</v>
      </c>
      <c r="N17" s="99">
        <f t="shared" si="5"/>
        <v>1.0236467907926781</v>
      </c>
      <c r="O17" s="99">
        <f t="shared" si="6"/>
        <v>1</v>
      </c>
    </row>
    <row r="18" spans="1:15" ht="14.25" customHeight="1" x14ac:dyDescent="0.3">
      <c r="A18" s="24" t="s">
        <v>21</v>
      </c>
      <c r="B18" s="18">
        <f t="shared" ref="B18:G18" si="8">SUM(B11:B17)</f>
        <v>25485</v>
      </c>
      <c r="C18" s="18">
        <f t="shared" si="8"/>
        <v>24722</v>
      </c>
      <c r="D18" s="18">
        <f t="shared" si="8"/>
        <v>23681</v>
      </c>
      <c r="E18" s="18">
        <f t="shared" si="8"/>
        <v>26159</v>
      </c>
      <c r="F18" s="19">
        <f t="shared" si="8"/>
        <v>29274.2</v>
      </c>
      <c r="G18" s="11">
        <f t="shared" si="8"/>
        <v>26140.300000000003</v>
      </c>
      <c r="I18" s="24" t="s">
        <v>21</v>
      </c>
      <c r="J18" s="99">
        <f t="shared" si="1"/>
        <v>0.97493142771888608</v>
      </c>
      <c r="K18" s="99">
        <f t="shared" si="2"/>
        <v>0.94574278030474013</v>
      </c>
      <c r="L18" s="99">
        <f t="shared" si="3"/>
        <v>0.90591921286289745</v>
      </c>
      <c r="M18" s="99">
        <f t="shared" si="4"/>
        <v>1.0007153705198486</v>
      </c>
      <c r="N18" s="99">
        <f t="shared" si="5"/>
        <v>1.1198876830028728</v>
      </c>
      <c r="O18" s="99">
        <f t="shared" si="6"/>
        <v>1</v>
      </c>
    </row>
    <row r="19" spans="1:15" ht="14.25" customHeight="1" x14ac:dyDescent="0.3">
      <c r="A19" s="10"/>
      <c r="B19" s="21"/>
      <c r="C19" s="21"/>
      <c r="D19" s="21"/>
      <c r="E19" s="21"/>
      <c r="F19" s="22"/>
      <c r="I19" s="10"/>
      <c r="J19" s="99"/>
      <c r="K19" s="99"/>
      <c r="L19" s="99"/>
      <c r="M19" s="99"/>
      <c r="N19" s="99"/>
      <c r="O19" s="99"/>
    </row>
    <row r="20" spans="1:15" s="4" customFormat="1" ht="14.25" customHeight="1" x14ac:dyDescent="0.3">
      <c r="A20" s="17" t="s">
        <v>22</v>
      </c>
      <c r="B20" s="18">
        <f t="shared" ref="B20:G20" si="9">B8-B18</f>
        <v>2872</v>
      </c>
      <c r="C20" s="18">
        <f t="shared" si="9"/>
        <v>2484</v>
      </c>
      <c r="D20" s="18">
        <f t="shared" si="9"/>
        <v>2043</v>
      </c>
      <c r="E20" s="18">
        <f t="shared" si="9"/>
        <v>1493</v>
      </c>
      <c r="F20" s="19">
        <f t="shared" si="9"/>
        <v>1532.7999999999993</v>
      </c>
      <c r="G20" s="11">
        <f t="shared" si="9"/>
        <v>1083.8999999999978</v>
      </c>
      <c r="I20" s="17" t="s">
        <v>22</v>
      </c>
      <c r="J20" s="99">
        <f t="shared" si="1"/>
        <v>2.6496909308976897</v>
      </c>
      <c r="K20" s="99">
        <f t="shared" si="2"/>
        <v>2.2917243288126259</v>
      </c>
      <c r="L20" s="99">
        <f t="shared" si="3"/>
        <v>1.8848602269582102</v>
      </c>
      <c r="M20" s="99">
        <f t="shared" si="4"/>
        <v>1.3774333425592795</v>
      </c>
      <c r="N20" s="99">
        <f t="shared" si="5"/>
        <v>1.414152597103056</v>
      </c>
      <c r="O20" s="99">
        <f t="shared" si="6"/>
        <v>1</v>
      </c>
    </row>
    <row r="21" spans="1:15" ht="14.25" customHeight="1" x14ac:dyDescent="0.3">
      <c r="A21" s="23" t="s">
        <v>23</v>
      </c>
      <c r="B21" s="14">
        <v>283</v>
      </c>
      <c r="C21" s="14">
        <v>274</v>
      </c>
      <c r="D21" s="14">
        <v>264</v>
      </c>
      <c r="E21" s="14">
        <v>271</v>
      </c>
      <c r="F21" s="12">
        <v>289</v>
      </c>
      <c r="G21" s="13">
        <v>249.3</v>
      </c>
      <c r="I21" s="23" t="s">
        <v>23</v>
      </c>
      <c r="J21" s="99">
        <f t="shared" si="1"/>
        <v>1.1351784997994383</v>
      </c>
      <c r="K21" s="99">
        <f t="shared" si="2"/>
        <v>1.0990774167669475</v>
      </c>
      <c r="L21" s="99">
        <f t="shared" si="3"/>
        <v>1.0589651022864019</v>
      </c>
      <c r="M21" s="99">
        <f t="shared" si="4"/>
        <v>1.0870437224227838</v>
      </c>
      <c r="N21" s="99">
        <f t="shared" si="5"/>
        <v>1.1592458884877657</v>
      </c>
      <c r="O21" s="99">
        <f t="shared" si="6"/>
        <v>1</v>
      </c>
    </row>
    <row r="22" spans="1:15" s="4" customFormat="1" ht="14.25" customHeight="1" x14ac:dyDescent="0.3">
      <c r="A22" s="17" t="s">
        <v>25</v>
      </c>
      <c r="B22" s="18">
        <f t="shared" ref="B22:G22" si="10">B20-B21</f>
        <v>2589</v>
      </c>
      <c r="C22" s="18">
        <f t="shared" si="10"/>
        <v>2210</v>
      </c>
      <c r="D22" s="18">
        <f t="shared" si="10"/>
        <v>1779</v>
      </c>
      <c r="E22" s="18">
        <f t="shared" si="10"/>
        <v>1222</v>
      </c>
      <c r="F22" s="19">
        <f t="shared" si="10"/>
        <v>1243.7999999999993</v>
      </c>
      <c r="G22" s="11">
        <f t="shared" si="10"/>
        <v>834.59999999999786</v>
      </c>
      <c r="I22" s="17" t="s">
        <v>25</v>
      </c>
      <c r="J22" s="99">
        <f t="shared" si="1"/>
        <v>3.1020848310568017</v>
      </c>
      <c r="K22" s="99">
        <f t="shared" si="2"/>
        <v>2.6479750778816267</v>
      </c>
      <c r="L22" s="99">
        <f t="shared" si="3"/>
        <v>2.1315600287562959</v>
      </c>
      <c r="M22" s="99">
        <f t="shared" si="4"/>
        <v>1.4641744548286642</v>
      </c>
      <c r="N22" s="99">
        <f t="shared" si="5"/>
        <v>1.490294751976998</v>
      </c>
      <c r="O22" s="99">
        <f t="shared" si="6"/>
        <v>1</v>
      </c>
    </row>
    <row r="23" spans="1:15" ht="14.25" customHeight="1" x14ac:dyDescent="0.3">
      <c r="A23" s="23" t="s">
        <v>26</v>
      </c>
      <c r="B23" s="14">
        <v>158</v>
      </c>
      <c r="C23" s="14">
        <v>89</v>
      </c>
      <c r="D23" s="14">
        <v>76</v>
      </c>
      <c r="E23" s="14">
        <v>104</v>
      </c>
      <c r="F23" s="15">
        <v>88</v>
      </c>
      <c r="G23" s="13">
        <v>165.8</v>
      </c>
      <c r="I23" s="23" t="s">
        <v>26</v>
      </c>
      <c r="J23" s="99">
        <f t="shared" si="1"/>
        <v>0.95295536791314828</v>
      </c>
      <c r="K23" s="99">
        <f t="shared" si="2"/>
        <v>0.53679131483715314</v>
      </c>
      <c r="L23" s="99">
        <f t="shared" si="3"/>
        <v>0.45838359469240048</v>
      </c>
      <c r="M23" s="99">
        <f t="shared" si="4"/>
        <v>0.62726176115802168</v>
      </c>
      <c r="N23" s="99">
        <f t="shared" si="5"/>
        <v>0.53075995174909529</v>
      </c>
      <c r="O23" s="99">
        <f t="shared" si="6"/>
        <v>1</v>
      </c>
    </row>
    <row r="24" spans="1:15" ht="14.25" customHeight="1" x14ac:dyDescent="0.3">
      <c r="A24" s="10" t="s">
        <v>28</v>
      </c>
      <c r="B24" s="21">
        <f t="shared" ref="B24:G24" si="11">B22-B23</f>
        <v>2431</v>
      </c>
      <c r="C24" s="21">
        <f t="shared" si="11"/>
        <v>2121</v>
      </c>
      <c r="D24" s="21">
        <f t="shared" si="11"/>
        <v>1703</v>
      </c>
      <c r="E24" s="21">
        <f t="shared" si="11"/>
        <v>1118</v>
      </c>
      <c r="F24" s="22">
        <f t="shared" si="11"/>
        <v>1155.7999999999993</v>
      </c>
      <c r="G24" s="21">
        <f t="shared" si="11"/>
        <v>668.79999999999791</v>
      </c>
      <c r="I24" s="10" t="s">
        <v>28</v>
      </c>
      <c r="J24" s="99">
        <f t="shared" si="1"/>
        <v>3.634868421052643</v>
      </c>
      <c r="K24" s="99">
        <f t="shared" si="2"/>
        <v>3.1713516746411581</v>
      </c>
      <c r="L24" s="99">
        <f t="shared" si="3"/>
        <v>2.5463516746411563</v>
      </c>
      <c r="M24" s="99">
        <f t="shared" si="4"/>
        <v>1.6716507177033546</v>
      </c>
      <c r="N24" s="99">
        <f t="shared" si="5"/>
        <v>1.7281698564593344</v>
      </c>
      <c r="O24" s="99">
        <f t="shared" si="6"/>
        <v>1</v>
      </c>
    </row>
    <row r="25" spans="1:15" ht="14.25" customHeight="1" x14ac:dyDescent="0.3">
      <c r="A25" s="10" t="s">
        <v>29</v>
      </c>
      <c r="B25" s="21">
        <v>0</v>
      </c>
      <c r="C25" s="21">
        <v>0</v>
      </c>
      <c r="D25" s="21">
        <v>0</v>
      </c>
      <c r="E25" s="21">
        <v>0</v>
      </c>
      <c r="F25" s="22">
        <v>0</v>
      </c>
      <c r="G25" s="21">
        <v>0</v>
      </c>
      <c r="I25" s="10" t="s">
        <v>29</v>
      </c>
      <c r="J25" s="99"/>
      <c r="K25" s="99"/>
      <c r="L25" s="99"/>
      <c r="M25" s="99"/>
      <c r="N25" s="99"/>
      <c r="O25" s="99"/>
    </row>
    <row r="26" spans="1:15" ht="14.25" customHeight="1" x14ac:dyDescent="0.3">
      <c r="A26" s="10" t="s">
        <v>30</v>
      </c>
      <c r="B26" s="11">
        <f t="shared" ref="B26:G26" si="12">SUM(B24:B25)</f>
        <v>2431</v>
      </c>
      <c r="C26" s="11">
        <f t="shared" si="12"/>
        <v>2121</v>
      </c>
      <c r="D26" s="11">
        <f t="shared" si="12"/>
        <v>1703</v>
      </c>
      <c r="E26" s="11">
        <f t="shared" si="12"/>
        <v>1118</v>
      </c>
      <c r="F26" s="12">
        <f t="shared" si="12"/>
        <v>1155.7999999999993</v>
      </c>
      <c r="G26" s="25">
        <f t="shared" si="12"/>
        <v>668.79999999999791</v>
      </c>
      <c r="I26" s="10" t="s">
        <v>30</v>
      </c>
      <c r="J26" s="99">
        <f t="shared" si="1"/>
        <v>3.634868421052643</v>
      </c>
      <c r="K26" s="99">
        <f t="shared" si="2"/>
        <v>3.1713516746411581</v>
      </c>
      <c r="L26" s="99">
        <f t="shared" si="3"/>
        <v>2.5463516746411563</v>
      </c>
      <c r="M26" s="99">
        <f t="shared" si="4"/>
        <v>1.6716507177033546</v>
      </c>
      <c r="N26" s="99">
        <f t="shared" si="5"/>
        <v>1.7281698564593344</v>
      </c>
      <c r="O26" s="99">
        <f t="shared" si="6"/>
        <v>1</v>
      </c>
    </row>
    <row r="27" spans="1:15" ht="14.25" customHeight="1" x14ac:dyDescent="0.3">
      <c r="A27" s="10" t="s">
        <v>31</v>
      </c>
      <c r="B27" s="14">
        <v>-91</v>
      </c>
      <c r="C27" s="14">
        <v>-65</v>
      </c>
      <c r="D27" s="14">
        <v>-17</v>
      </c>
      <c r="E27" s="14">
        <v>171</v>
      </c>
      <c r="F27" s="12">
        <v>-156</v>
      </c>
      <c r="G27" s="13">
        <v>-151.4</v>
      </c>
      <c r="I27" s="10" t="s">
        <v>31</v>
      </c>
      <c r="J27" s="99">
        <f t="shared" si="1"/>
        <v>0.60105680317040944</v>
      </c>
      <c r="K27" s="99">
        <f t="shared" si="2"/>
        <v>0.42932628797886391</v>
      </c>
      <c r="L27" s="99">
        <f t="shared" si="3"/>
        <v>0.11228533685601057</v>
      </c>
      <c r="M27" s="99">
        <f t="shared" si="4"/>
        <v>-1.129458388375165</v>
      </c>
      <c r="N27" s="99">
        <f t="shared" si="5"/>
        <v>1.0303830911492735</v>
      </c>
      <c r="O27" s="99">
        <f t="shared" si="6"/>
        <v>1</v>
      </c>
    </row>
    <row r="28" spans="1:15" s="4" customFormat="1" ht="14.25" customHeight="1" x14ac:dyDescent="0.3">
      <c r="A28" s="17" t="s">
        <v>32</v>
      </c>
      <c r="B28" s="18">
        <f t="shared" ref="B28:G28" si="13">B26+B27</f>
        <v>2340</v>
      </c>
      <c r="C28" s="18">
        <f t="shared" si="13"/>
        <v>2056</v>
      </c>
      <c r="D28" s="18">
        <f t="shared" si="13"/>
        <v>1686</v>
      </c>
      <c r="E28" s="18">
        <f t="shared" si="13"/>
        <v>1289</v>
      </c>
      <c r="F28" s="19">
        <f t="shared" si="13"/>
        <v>999.79999999999927</v>
      </c>
      <c r="G28" s="18">
        <f t="shared" si="13"/>
        <v>517.39999999999793</v>
      </c>
      <c r="I28" s="17" t="s">
        <v>32</v>
      </c>
      <c r="J28" s="99">
        <f t="shared" si="1"/>
        <v>4.5226130653266514</v>
      </c>
      <c r="K28" s="99">
        <f t="shared" si="2"/>
        <v>3.9737147274835878</v>
      </c>
      <c r="L28" s="99">
        <f t="shared" si="3"/>
        <v>3.2586006957866385</v>
      </c>
      <c r="M28" s="99">
        <f t="shared" si="4"/>
        <v>2.4913026671820742</v>
      </c>
      <c r="N28" s="99">
        <f t="shared" si="5"/>
        <v>1.9323540780827275</v>
      </c>
      <c r="O28" s="99">
        <f t="shared" si="6"/>
        <v>1</v>
      </c>
    </row>
    <row r="29" spans="1:15" ht="14.25" customHeight="1" x14ac:dyDescent="0.3">
      <c r="A29" s="10" t="s">
        <v>33</v>
      </c>
      <c r="B29" s="26">
        <v>510</v>
      </c>
      <c r="C29" s="26">
        <v>498</v>
      </c>
      <c r="D29" s="26">
        <v>374</v>
      </c>
      <c r="E29" s="26">
        <v>237</v>
      </c>
      <c r="F29" s="27">
        <v>160</v>
      </c>
      <c r="G29" s="25">
        <v>158.69999999999999</v>
      </c>
      <c r="I29" s="10" t="s">
        <v>33</v>
      </c>
      <c r="J29" s="99">
        <f t="shared" si="1"/>
        <v>3.2136105860113422</v>
      </c>
      <c r="K29" s="99">
        <f t="shared" si="2"/>
        <v>3.1379962192816637</v>
      </c>
      <c r="L29" s="99">
        <f t="shared" si="3"/>
        <v>2.3566477630749842</v>
      </c>
      <c r="M29" s="99">
        <f t="shared" si="4"/>
        <v>1.4933837429111532</v>
      </c>
      <c r="N29" s="99">
        <f t="shared" si="5"/>
        <v>1.0081915563957153</v>
      </c>
      <c r="O29" s="99">
        <f t="shared" si="6"/>
        <v>1</v>
      </c>
    </row>
    <row r="30" spans="1:15" s="4" customFormat="1" ht="14.25" customHeight="1" x14ac:dyDescent="0.3">
      <c r="A30" s="17" t="s">
        <v>34</v>
      </c>
      <c r="B30" s="18">
        <f t="shared" ref="B30:G30" si="14">B28-B29</f>
        <v>1830</v>
      </c>
      <c r="C30" s="18">
        <f t="shared" si="14"/>
        <v>1558</v>
      </c>
      <c r="D30" s="18">
        <f t="shared" si="14"/>
        <v>1312</v>
      </c>
      <c r="E30" s="18">
        <f t="shared" si="14"/>
        <v>1052</v>
      </c>
      <c r="F30" s="19">
        <f t="shared" si="14"/>
        <v>839.79999999999927</v>
      </c>
      <c r="G30" s="18">
        <f t="shared" si="14"/>
        <v>358.69999999999794</v>
      </c>
      <c r="I30" s="17" t="s">
        <v>34</v>
      </c>
      <c r="J30" s="99">
        <f t="shared" si="1"/>
        <v>5.1017563423473948</v>
      </c>
      <c r="K30" s="99">
        <f t="shared" si="2"/>
        <v>4.3434625034848313</v>
      </c>
      <c r="L30" s="99">
        <f t="shared" si="3"/>
        <v>3.6576526345135418</v>
      </c>
      <c r="M30" s="99">
        <f t="shared" si="4"/>
        <v>2.9328129356007975</v>
      </c>
      <c r="N30" s="99">
        <f t="shared" si="5"/>
        <v>2.3412322274881632</v>
      </c>
      <c r="O30" s="99">
        <f t="shared" si="6"/>
        <v>1</v>
      </c>
    </row>
    <row r="31" spans="1:15" ht="14.25" customHeight="1" x14ac:dyDescent="0.3">
      <c r="A31" s="10" t="s">
        <v>35</v>
      </c>
      <c r="B31" s="21">
        <v>0</v>
      </c>
      <c r="C31" s="21">
        <v>0</v>
      </c>
      <c r="D31" s="21">
        <v>0</v>
      </c>
      <c r="E31" s="21">
        <v>0</v>
      </c>
      <c r="F31" s="22">
        <v>0</v>
      </c>
      <c r="G31" s="21">
        <v>0</v>
      </c>
      <c r="I31" s="10" t="s">
        <v>35</v>
      </c>
      <c r="J31" s="99"/>
      <c r="K31" s="99"/>
      <c r="L31" s="99"/>
      <c r="M31" s="99"/>
      <c r="N31" s="99"/>
      <c r="O31" s="99"/>
    </row>
    <row r="32" spans="1:15" ht="14.25" customHeight="1" x14ac:dyDescent="0.3">
      <c r="A32" s="17" t="s">
        <v>36</v>
      </c>
      <c r="B32" s="18">
        <f t="shared" ref="B32:G32" si="15">B30-B31</f>
        <v>1830</v>
      </c>
      <c r="C32" s="18">
        <f t="shared" si="15"/>
        <v>1558</v>
      </c>
      <c r="D32" s="18">
        <f t="shared" si="15"/>
        <v>1312</v>
      </c>
      <c r="E32" s="18">
        <f t="shared" si="15"/>
        <v>1052</v>
      </c>
      <c r="F32" s="19">
        <f t="shared" si="15"/>
        <v>839.79999999999927</v>
      </c>
      <c r="G32" s="18">
        <f t="shared" si="15"/>
        <v>358.69999999999794</v>
      </c>
      <c r="I32" s="17" t="s">
        <v>36</v>
      </c>
      <c r="J32" s="99">
        <f t="shared" si="1"/>
        <v>5.1017563423473948</v>
      </c>
      <c r="K32" s="99">
        <f t="shared" si="2"/>
        <v>4.3434625034848313</v>
      </c>
      <c r="L32" s="99">
        <f t="shared" si="3"/>
        <v>3.6576526345135418</v>
      </c>
      <c r="M32" s="99">
        <f t="shared" si="4"/>
        <v>2.9328129356007975</v>
      </c>
      <c r="N32" s="99">
        <f t="shared" si="5"/>
        <v>2.3412322274881632</v>
      </c>
      <c r="O32" s="99">
        <f t="shared" si="6"/>
        <v>1</v>
      </c>
    </row>
    <row r="33" spans="1:15" ht="14.25" customHeight="1" x14ac:dyDescent="0.3">
      <c r="A33" s="10" t="s">
        <v>37</v>
      </c>
      <c r="B33" s="21">
        <v>1263</v>
      </c>
      <c r="C33" s="21">
        <v>350</v>
      </c>
      <c r="D33" s="21">
        <v>291</v>
      </c>
      <c r="E33" s="21">
        <v>0</v>
      </c>
      <c r="F33" s="22">
        <v>0</v>
      </c>
      <c r="G33" s="21">
        <v>0</v>
      </c>
      <c r="I33" s="10" t="s">
        <v>37</v>
      </c>
      <c r="J33" s="99"/>
      <c r="K33" s="99"/>
      <c r="L33" s="99"/>
      <c r="M33" s="99"/>
      <c r="N33" s="99"/>
      <c r="O33" s="99"/>
    </row>
    <row r="34" spans="1:15" ht="14.25" customHeight="1" x14ac:dyDescent="0.3">
      <c r="A34" s="28" t="s">
        <v>38</v>
      </c>
      <c r="B34" s="29">
        <f t="shared" ref="B34:G34" si="16">B29/B28</f>
        <v>0.21794871794871795</v>
      </c>
      <c r="C34" s="29">
        <f t="shared" si="16"/>
        <v>0.24221789883268482</v>
      </c>
      <c r="D34" s="29">
        <f t="shared" si="16"/>
        <v>0.22182680901542112</v>
      </c>
      <c r="E34" s="29">
        <f t="shared" si="16"/>
        <v>0.18386346004654772</v>
      </c>
      <c r="F34" s="30">
        <f t="shared" si="16"/>
        <v>0.16003200640128037</v>
      </c>
      <c r="G34" s="29">
        <f t="shared" si="16"/>
        <v>0.30672593737920489</v>
      </c>
      <c r="I34" s="28" t="s">
        <v>38</v>
      </c>
    </row>
    <row r="35" spans="1:15" ht="14.25" customHeight="1" x14ac:dyDescent="0.3"/>
    <row r="36" spans="1:15" ht="14.25" customHeight="1" x14ac:dyDescent="0.3"/>
    <row r="37" spans="1:15" ht="14.25" customHeight="1" x14ac:dyDescent="0.3">
      <c r="A37" s="5" t="s">
        <v>39</v>
      </c>
      <c r="B37" s="31"/>
      <c r="C37" s="31"/>
      <c r="D37" s="31"/>
      <c r="E37" s="31"/>
      <c r="F37" s="31"/>
      <c r="G37" s="32"/>
      <c r="I37" s="6" t="s">
        <v>39</v>
      </c>
    </row>
    <row r="38" spans="1:15" ht="14.25" customHeight="1" x14ac:dyDescent="0.3">
      <c r="A38" s="7" t="s">
        <v>4</v>
      </c>
      <c r="B38" s="8">
        <v>46112</v>
      </c>
      <c r="C38" s="8">
        <v>45747</v>
      </c>
      <c r="D38" s="8">
        <v>45382</v>
      </c>
      <c r="E38" s="8">
        <v>45016</v>
      </c>
      <c r="F38" s="33">
        <v>44651</v>
      </c>
      <c r="G38" s="34">
        <v>44286</v>
      </c>
      <c r="I38" s="7" t="s">
        <v>4</v>
      </c>
      <c r="J38" s="8">
        <v>46112</v>
      </c>
      <c r="K38" s="8">
        <v>45747</v>
      </c>
      <c r="L38" s="8">
        <v>45382</v>
      </c>
      <c r="M38" s="8">
        <v>45016</v>
      </c>
      <c r="N38" s="8">
        <v>44651</v>
      </c>
      <c r="O38" s="8">
        <v>44286</v>
      </c>
    </row>
    <row r="39" spans="1:15" ht="14.25" customHeight="1" x14ac:dyDescent="0.3">
      <c r="A39" s="112" t="s">
        <v>40</v>
      </c>
      <c r="B39" s="112"/>
      <c r="C39" s="112"/>
      <c r="D39" s="112"/>
      <c r="E39" s="112"/>
      <c r="F39" s="112"/>
      <c r="G39" s="35"/>
      <c r="I39" s="36" t="s">
        <v>40</v>
      </c>
      <c r="J39" s="37"/>
      <c r="K39" s="37"/>
      <c r="L39" s="37"/>
      <c r="M39" s="37"/>
      <c r="N39" s="37"/>
      <c r="O39" s="37"/>
    </row>
    <row r="40" spans="1:15" ht="14.25" customHeight="1" x14ac:dyDescent="0.3">
      <c r="A40" s="38" t="s">
        <v>41</v>
      </c>
      <c r="B40" s="39">
        <v>145</v>
      </c>
      <c r="C40" s="39">
        <v>145</v>
      </c>
      <c r="D40" s="39">
        <v>145</v>
      </c>
      <c r="E40" s="39">
        <v>145.5</v>
      </c>
      <c r="F40" s="40">
        <v>145.5</v>
      </c>
      <c r="G40" s="39">
        <v>145.30000000000001</v>
      </c>
      <c r="I40" s="38" t="s">
        <v>41</v>
      </c>
      <c r="J40" s="99">
        <f t="shared" ref="J40:N40" si="17">B40/$G40</f>
        <v>0.99793530626290428</v>
      </c>
      <c r="K40" s="99">
        <f t="shared" si="17"/>
        <v>0.99793530626290428</v>
      </c>
      <c r="L40" s="99">
        <f t="shared" si="17"/>
        <v>0.99793530626290428</v>
      </c>
      <c r="M40" s="99">
        <f t="shared" si="17"/>
        <v>1.001376462491397</v>
      </c>
      <c r="N40" s="99">
        <f t="shared" si="17"/>
        <v>1.001376462491397</v>
      </c>
      <c r="O40" s="99">
        <f>G40/$G40</f>
        <v>1</v>
      </c>
    </row>
    <row r="41" spans="1:15" ht="14.25" customHeight="1" x14ac:dyDescent="0.3">
      <c r="A41" s="38" t="s">
        <v>42</v>
      </c>
      <c r="B41" s="39">
        <v>0</v>
      </c>
      <c r="C41" s="39">
        <v>0</v>
      </c>
      <c r="D41" s="39">
        <v>0</v>
      </c>
      <c r="E41" s="39">
        <v>0</v>
      </c>
      <c r="F41" s="40">
        <v>0.2</v>
      </c>
      <c r="G41" s="39">
        <v>0</v>
      </c>
      <c r="I41" s="38" t="s">
        <v>42</v>
      </c>
      <c r="J41" s="99"/>
      <c r="K41" s="99"/>
      <c r="L41" s="99"/>
      <c r="M41" s="99"/>
      <c r="N41" s="99"/>
      <c r="O41" s="99"/>
    </row>
    <row r="42" spans="1:15" ht="14.25" customHeight="1" x14ac:dyDescent="0.3">
      <c r="A42" s="42" t="s">
        <v>43</v>
      </c>
      <c r="B42" s="43"/>
      <c r="C42" s="43"/>
      <c r="D42" s="43"/>
      <c r="E42" s="43"/>
      <c r="F42" s="44"/>
      <c r="G42" s="43"/>
      <c r="I42" s="42" t="s">
        <v>43</v>
      </c>
      <c r="J42" s="99"/>
      <c r="K42" s="99"/>
      <c r="L42" s="99"/>
      <c r="M42" s="99"/>
      <c r="N42" s="99"/>
      <c r="O42" s="99"/>
    </row>
    <row r="43" spans="1:15" ht="14.25" customHeight="1" x14ac:dyDescent="0.3">
      <c r="A43" s="38" t="s">
        <v>44</v>
      </c>
      <c r="B43" s="39">
        <v>8576</v>
      </c>
      <c r="C43" s="39">
        <v>7734</v>
      </c>
      <c r="D43" s="39">
        <v>6818</v>
      </c>
      <c r="E43" s="39">
        <v>5799</v>
      </c>
      <c r="F43" s="40">
        <v>4746.8</v>
      </c>
      <c r="G43" s="39">
        <v>3981.5</v>
      </c>
      <c r="I43" s="38" t="s">
        <v>44</v>
      </c>
      <c r="J43" s="99">
        <f t="shared" ref="J43:J62" si="18">B43/$G43</f>
        <v>2.1539620745950017</v>
      </c>
      <c r="K43" s="99">
        <f t="shared" ref="K43:K62" si="19">C43/$G43</f>
        <v>1.9424839884465654</v>
      </c>
      <c r="L43" s="99">
        <f t="shared" ref="L43:L62" si="20">D43/$G43</f>
        <v>1.7124199422328268</v>
      </c>
      <c r="M43" s="99">
        <f t="shared" ref="M43:M62" si="21">E43/$G43</f>
        <v>1.4564862489011678</v>
      </c>
      <c r="N43" s="99">
        <f t="shared" ref="N43:N62" si="22">F43/$G43</f>
        <v>1.1922139897023736</v>
      </c>
      <c r="O43" s="99">
        <f t="shared" ref="O43:O62" si="23">G43/$G43</f>
        <v>1</v>
      </c>
    </row>
    <row r="44" spans="1:15" ht="14.25" customHeight="1" x14ac:dyDescent="0.3">
      <c r="A44" s="17" t="s">
        <v>45</v>
      </c>
      <c r="B44" s="18">
        <f t="shared" ref="B44:G44" si="24">SUM(B40:B43)</f>
        <v>8721</v>
      </c>
      <c r="C44" s="18">
        <f t="shared" si="24"/>
        <v>7879</v>
      </c>
      <c r="D44" s="18">
        <f t="shared" si="24"/>
        <v>6963</v>
      </c>
      <c r="E44" s="18">
        <f t="shared" si="24"/>
        <v>5944.5</v>
      </c>
      <c r="F44" s="19">
        <f t="shared" si="24"/>
        <v>4892.5</v>
      </c>
      <c r="G44" s="18">
        <f t="shared" si="24"/>
        <v>4126.8</v>
      </c>
      <c r="I44" s="17" t="s">
        <v>45</v>
      </c>
      <c r="J44" s="99">
        <f t="shared" si="18"/>
        <v>2.1132596685082872</v>
      </c>
      <c r="K44" s="99">
        <f t="shared" si="19"/>
        <v>1.9092274886110303</v>
      </c>
      <c r="L44" s="99">
        <f t="shared" si="20"/>
        <v>1.687263739459145</v>
      </c>
      <c r="M44" s="99">
        <f t="shared" si="21"/>
        <v>1.4404623437045652</v>
      </c>
      <c r="N44" s="99">
        <f t="shared" si="22"/>
        <v>1.1855432780847146</v>
      </c>
      <c r="O44" s="99">
        <f t="shared" si="23"/>
        <v>1</v>
      </c>
    </row>
    <row r="45" spans="1:15" ht="14.25" customHeight="1" x14ac:dyDescent="0.3">
      <c r="A45" s="10"/>
      <c r="B45" s="21"/>
      <c r="C45" s="21"/>
      <c r="D45" s="21"/>
      <c r="E45" s="21"/>
      <c r="F45" s="22"/>
      <c r="G45" s="21"/>
      <c r="I45" s="10"/>
      <c r="J45" s="99"/>
      <c r="K45" s="99"/>
      <c r="L45" s="99"/>
      <c r="M45" s="99"/>
      <c r="N45" s="99"/>
      <c r="O45" s="99"/>
    </row>
    <row r="46" spans="1:15" ht="14.25" customHeight="1" x14ac:dyDescent="0.3">
      <c r="A46" s="17" t="s">
        <v>46</v>
      </c>
      <c r="B46" s="21"/>
      <c r="C46" s="21"/>
      <c r="D46" s="21"/>
      <c r="E46" s="21"/>
      <c r="F46" s="22"/>
      <c r="G46" s="21"/>
      <c r="I46" s="17" t="s">
        <v>46</v>
      </c>
      <c r="J46" s="99"/>
      <c r="K46" s="99"/>
      <c r="L46" s="99"/>
      <c r="M46" s="99"/>
      <c r="N46" s="99"/>
      <c r="O46" s="99"/>
    </row>
    <row r="47" spans="1:15" ht="14.25" customHeight="1" x14ac:dyDescent="0.3">
      <c r="A47" s="38" t="s">
        <v>47</v>
      </c>
      <c r="B47" s="39">
        <v>0</v>
      </c>
      <c r="C47" s="39">
        <v>0</v>
      </c>
      <c r="D47" s="39">
        <v>0</v>
      </c>
      <c r="E47" s="39">
        <v>0.3</v>
      </c>
      <c r="F47" s="40">
        <v>0.9</v>
      </c>
      <c r="G47" s="39">
        <v>0</v>
      </c>
      <c r="I47" s="38" t="s">
        <v>47</v>
      </c>
      <c r="J47" s="99"/>
      <c r="K47" s="99"/>
      <c r="L47" s="99"/>
      <c r="M47" s="99"/>
      <c r="N47" s="99"/>
      <c r="O47" s="99"/>
    </row>
    <row r="48" spans="1:15" ht="14.25" customHeight="1" x14ac:dyDescent="0.3">
      <c r="A48" s="38" t="s">
        <v>48</v>
      </c>
      <c r="B48" s="39">
        <v>307</v>
      </c>
      <c r="C48" s="39">
        <v>334</v>
      </c>
      <c r="D48" s="39">
        <v>137</v>
      </c>
      <c r="E48" s="39">
        <v>80</v>
      </c>
      <c r="F48" s="40">
        <v>134.1</v>
      </c>
      <c r="G48" s="39">
        <v>92.5</v>
      </c>
      <c r="I48" s="38" t="s">
        <v>48</v>
      </c>
      <c r="J48" s="99">
        <f t="shared" si="18"/>
        <v>3.3189189189189188</v>
      </c>
      <c r="K48" s="99">
        <f t="shared" si="19"/>
        <v>3.6108108108108108</v>
      </c>
      <c r="L48" s="99">
        <f t="shared" si="20"/>
        <v>1.4810810810810811</v>
      </c>
      <c r="M48" s="99">
        <f t="shared" si="21"/>
        <v>0.86486486486486491</v>
      </c>
      <c r="N48" s="99">
        <f t="shared" si="22"/>
        <v>1.4497297297297296</v>
      </c>
      <c r="O48" s="99">
        <f t="shared" si="23"/>
        <v>1</v>
      </c>
    </row>
    <row r="49" spans="1:15" ht="14.25" customHeight="1" x14ac:dyDescent="0.3">
      <c r="A49" s="38" t="s">
        <v>49</v>
      </c>
      <c r="B49" s="39">
        <v>39</v>
      </c>
      <c r="C49" s="39">
        <v>16</v>
      </c>
      <c r="D49" s="39">
        <v>15</v>
      </c>
      <c r="E49" s="39">
        <v>12.3</v>
      </c>
      <c r="F49" s="40">
        <v>14.9</v>
      </c>
      <c r="G49" s="39">
        <v>7.5</v>
      </c>
      <c r="I49" s="38" t="s">
        <v>49</v>
      </c>
      <c r="J49" s="99">
        <f t="shared" si="18"/>
        <v>5.2</v>
      </c>
      <c r="K49" s="99">
        <f t="shared" si="19"/>
        <v>2.1333333333333333</v>
      </c>
      <c r="L49" s="99">
        <f t="shared" si="20"/>
        <v>2</v>
      </c>
      <c r="M49" s="99">
        <f t="shared" si="21"/>
        <v>1.6400000000000001</v>
      </c>
      <c r="N49" s="99">
        <f t="shared" si="22"/>
        <v>1.9866666666666668</v>
      </c>
      <c r="O49" s="99">
        <f t="shared" si="23"/>
        <v>1</v>
      </c>
    </row>
    <row r="50" spans="1:15" s="4" customFormat="1" ht="14.25" customHeight="1" x14ac:dyDescent="0.3">
      <c r="A50" s="17" t="s">
        <v>50</v>
      </c>
      <c r="B50" s="18">
        <f t="shared" ref="B50:G50" si="25">SUM(B47:B49)</f>
        <v>346</v>
      </c>
      <c r="C50" s="18">
        <f t="shared" si="25"/>
        <v>350</v>
      </c>
      <c r="D50" s="18">
        <f t="shared" si="25"/>
        <v>152</v>
      </c>
      <c r="E50" s="18">
        <f t="shared" si="25"/>
        <v>92.6</v>
      </c>
      <c r="F50" s="19">
        <f t="shared" si="25"/>
        <v>149.9</v>
      </c>
      <c r="G50" s="18">
        <f t="shared" si="25"/>
        <v>100</v>
      </c>
      <c r="I50" s="17" t="s">
        <v>50</v>
      </c>
      <c r="J50" s="99">
        <f t="shared" si="18"/>
        <v>3.46</v>
      </c>
      <c r="K50" s="99">
        <f t="shared" si="19"/>
        <v>3.5</v>
      </c>
      <c r="L50" s="99">
        <f t="shared" si="20"/>
        <v>1.52</v>
      </c>
      <c r="M50" s="99">
        <f t="shared" si="21"/>
        <v>0.92599999999999993</v>
      </c>
      <c r="N50" s="99">
        <f t="shared" si="22"/>
        <v>1.4990000000000001</v>
      </c>
      <c r="O50" s="99">
        <f t="shared" si="23"/>
        <v>1</v>
      </c>
    </row>
    <row r="51" spans="1:15" ht="14.25" customHeight="1" x14ac:dyDescent="0.3">
      <c r="A51" s="10"/>
      <c r="B51" s="39">
        <v>98</v>
      </c>
      <c r="C51" s="39">
        <v>146</v>
      </c>
      <c r="D51" s="39">
        <v>103</v>
      </c>
      <c r="E51" s="39">
        <v>102.2</v>
      </c>
      <c r="F51" s="40">
        <v>129.6</v>
      </c>
      <c r="G51" s="39"/>
      <c r="I51" s="10"/>
      <c r="J51" s="99"/>
      <c r="K51" s="99"/>
      <c r="L51" s="99"/>
      <c r="M51" s="99"/>
      <c r="N51" s="99"/>
      <c r="O51" s="99"/>
    </row>
    <row r="52" spans="1:15" ht="14.25" customHeight="1" x14ac:dyDescent="0.3">
      <c r="A52" s="17" t="s">
        <v>51</v>
      </c>
      <c r="B52" s="21"/>
      <c r="C52" s="21"/>
      <c r="D52" s="21"/>
      <c r="E52" s="21"/>
      <c r="F52" s="22"/>
      <c r="G52" s="21"/>
      <c r="I52" s="17" t="s">
        <v>51</v>
      </c>
      <c r="J52" s="99"/>
      <c r="K52" s="99"/>
      <c r="L52" s="99"/>
      <c r="M52" s="99"/>
      <c r="N52" s="99"/>
      <c r="O52" s="99"/>
    </row>
    <row r="53" spans="1:15" ht="14.25" customHeight="1" x14ac:dyDescent="0.3">
      <c r="A53" s="38" t="s">
        <v>47</v>
      </c>
      <c r="B53" s="39">
        <v>0</v>
      </c>
      <c r="C53" s="39">
        <v>0</v>
      </c>
      <c r="D53" s="39">
        <v>0.8</v>
      </c>
      <c r="E53" s="39">
        <v>0.8</v>
      </c>
      <c r="F53" s="40">
        <v>340.8</v>
      </c>
      <c r="G53" s="39">
        <v>555.6</v>
      </c>
      <c r="I53" s="38" t="s">
        <v>47</v>
      </c>
      <c r="J53" s="99">
        <f t="shared" si="18"/>
        <v>0</v>
      </c>
      <c r="K53" s="99">
        <f t="shared" si="19"/>
        <v>0</v>
      </c>
      <c r="L53" s="99">
        <f t="shared" si="20"/>
        <v>1.4398848092152627E-3</v>
      </c>
      <c r="M53" s="99">
        <f t="shared" si="21"/>
        <v>1.4398848092152627E-3</v>
      </c>
      <c r="N53" s="99">
        <f t="shared" si="22"/>
        <v>0.61339092872570189</v>
      </c>
      <c r="O53" s="99">
        <f t="shared" si="23"/>
        <v>1</v>
      </c>
    </row>
    <row r="54" spans="1:15" ht="14.25" customHeight="1" x14ac:dyDescent="0.3">
      <c r="A54" s="38" t="s">
        <v>48</v>
      </c>
      <c r="B54" s="39">
        <v>98</v>
      </c>
      <c r="C54" s="39">
        <v>146</v>
      </c>
      <c r="D54" s="39">
        <v>103</v>
      </c>
      <c r="E54" s="39">
        <v>102.2</v>
      </c>
      <c r="F54" s="40">
        <v>129.6</v>
      </c>
      <c r="G54" s="39">
        <v>65.3</v>
      </c>
      <c r="H54" s="45"/>
      <c r="I54" s="38" t="s">
        <v>48</v>
      </c>
      <c r="J54" s="99">
        <f t="shared" si="18"/>
        <v>1.5007656967840737</v>
      </c>
      <c r="K54" s="99">
        <f t="shared" si="19"/>
        <v>2.2358346094946402</v>
      </c>
      <c r="L54" s="99">
        <f t="shared" si="20"/>
        <v>1.5773353751914243</v>
      </c>
      <c r="M54" s="99">
        <f t="shared" si="21"/>
        <v>1.5650842266462481</v>
      </c>
      <c r="N54" s="99">
        <f t="shared" si="22"/>
        <v>1.9846860643185298</v>
      </c>
      <c r="O54" s="99">
        <f t="shared" si="23"/>
        <v>1</v>
      </c>
    </row>
    <row r="55" spans="1:15" ht="14.25" customHeight="1" x14ac:dyDescent="0.3">
      <c r="A55" s="38" t="s">
        <v>52</v>
      </c>
      <c r="B55" s="39">
        <v>140</v>
      </c>
      <c r="C55" s="39">
        <v>74</v>
      </c>
      <c r="D55" s="39">
        <v>69</v>
      </c>
      <c r="E55" s="39">
        <v>50.2</v>
      </c>
      <c r="F55" s="40">
        <v>79.2</v>
      </c>
      <c r="G55" s="39">
        <v>64</v>
      </c>
      <c r="H55" s="45"/>
      <c r="I55" s="38" t="s">
        <v>52</v>
      </c>
      <c r="J55" s="99">
        <f t="shared" si="18"/>
        <v>2.1875</v>
      </c>
      <c r="K55" s="99">
        <f t="shared" si="19"/>
        <v>1.15625</v>
      </c>
      <c r="L55" s="99">
        <f t="shared" si="20"/>
        <v>1.078125</v>
      </c>
      <c r="M55" s="99">
        <f t="shared" si="21"/>
        <v>0.78437500000000004</v>
      </c>
      <c r="N55" s="99">
        <f t="shared" si="22"/>
        <v>1.2375</v>
      </c>
      <c r="O55" s="99">
        <f t="shared" si="23"/>
        <v>1</v>
      </c>
    </row>
    <row r="56" spans="1:15" ht="14.25" customHeight="1" x14ac:dyDescent="0.3">
      <c r="A56" s="38" t="s">
        <v>53</v>
      </c>
      <c r="B56" s="39">
        <v>2237</v>
      </c>
      <c r="C56" s="39">
        <v>2078</v>
      </c>
      <c r="D56" s="39">
        <v>1758</v>
      </c>
      <c r="E56" s="39">
        <v>1688.1</v>
      </c>
      <c r="F56" s="40">
        <v>1448.7</v>
      </c>
      <c r="G56" s="39">
        <v>1317.3</v>
      </c>
      <c r="H56" s="45"/>
      <c r="I56" s="38" t="s">
        <v>53</v>
      </c>
      <c r="J56" s="99">
        <f t="shared" si="18"/>
        <v>1.698170500265695</v>
      </c>
      <c r="K56" s="99">
        <f t="shared" si="19"/>
        <v>1.5774690655127914</v>
      </c>
      <c r="L56" s="99">
        <f t="shared" si="20"/>
        <v>1.334547938966067</v>
      </c>
      <c r="M56" s="99">
        <f t="shared" si="21"/>
        <v>1.2814848553860168</v>
      </c>
      <c r="N56" s="99">
        <f t="shared" si="22"/>
        <v>1.0997494875882488</v>
      </c>
      <c r="O56" s="99">
        <f t="shared" si="23"/>
        <v>1</v>
      </c>
    </row>
    <row r="57" spans="1:15" ht="14.25" customHeight="1" x14ac:dyDescent="0.3">
      <c r="A57" s="38" t="s">
        <v>54</v>
      </c>
      <c r="B57" s="39">
        <v>269</v>
      </c>
      <c r="C57" s="39">
        <v>484</v>
      </c>
      <c r="D57" s="39">
        <v>204</v>
      </c>
      <c r="E57" s="39">
        <v>284.60000000000002</v>
      </c>
      <c r="F57" s="40">
        <v>192.6</v>
      </c>
      <c r="G57" s="39">
        <v>192.1</v>
      </c>
      <c r="H57" s="45"/>
      <c r="I57" s="38" t="s">
        <v>54</v>
      </c>
      <c r="J57" s="99">
        <f t="shared" si="18"/>
        <v>1.4003123373243103</v>
      </c>
      <c r="K57" s="99">
        <f t="shared" si="19"/>
        <v>2.519521082769391</v>
      </c>
      <c r="L57" s="99">
        <f t="shared" si="20"/>
        <v>1.0619469026548674</v>
      </c>
      <c r="M57" s="99">
        <f t="shared" si="21"/>
        <v>1.4815200416449767</v>
      </c>
      <c r="N57" s="99">
        <f t="shared" si="22"/>
        <v>1.0026028110359189</v>
      </c>
      <c r="O57" s="99">
        <f t="shared" si="23"/>
        <v>1</v>
      </c>
    </row>
    <row r="58" spans="1:15" ht="14.25" customHeight="1" x14ac:dyDescent="0.3">
      <c r="A58" s="38" t="s">
        <v>49</v>
      </c>
      <c r="B58" s="39">
        <v>500</v>
      </c>
      <c r="C58" s="39">
        <v>373</v>
      </c>
      <c r="D58" s="39">
        <v>367</v>
      </c>
      <c r="E58" s="39">
        <v>371.5</v>
      </c>
      <c r="F58" s="40">
        <v>485.9</v>
      </c>
      <c r="G58" s="39">
        <v>537.9</v>
      </c>
      <c r="H58" s="45"/>
      <c r="I58" s="38" t="s">
        <v>49</v>
      </c>
      <c r="J58" s="99">
        <f t="shared" si="18"/>
        <v>0.92954080684142038</v>
      </c>
      <c r="K58" s="99">
        <f t="shared" si="19"/>
        <v>0.6934374419036996</v>
      </c>
      <c r="L58" s="99">
        <f t="shared" si="20"/>
        <v>0.68228295222160251</v>
      </c>
      <c r="M58" s="99">
        <f t="shared" si="21"/>
        <v>0.69064881948317536</v>
      </c>
      <c r="N58" s="99">
        <f t="shared" si="22"/>
        <v>0.90332775608849225</v>
      </c>
      <c r="O58" s="99">
        <f t="shared" si="23"/>
        <v>1</v>
      </c>
    </row>
    <row r="59" spans="1:15" ht="14.25" customHeight="1" x14ac:dyDescent="0.3">
      <c r="A59" s="38" t="s">
        <v>55</v>
      </c>
      <c r="B59" s="39">
        <v>571</v>
      </c>
      <c r="C59" s="39">
        <v>358</v>
      </c>
      <c r="D59" s="39">
        <v>324</v>
      </c>
      <c r="E59" s="39">
        <v>282.89999999999998</v>
      </c>
      <c r="F59" s="40">
        <v>190.4</v>
      </c>
      <c r="G59" s="39">
        <v>322.5</v>
      </c>
      <c r="H59" s="45"/>
      <c r="I59" s="38" t="s">
        <v>55</v>
      </c>
      <c r="J59" s="99">
        <f t="shared" si="18"/>
        <v>1.7705426356589147</v>
      </c>
      <c r="K59" s="99">
        <f t="shared" si="19"/>
        <v>1.1100775193798449</v>
      </c>
      <c r="L59" s="99">
        <f t="shared" si="20"/>
        <v>1.0046511627906978</v>
      </c>
      <c r="M59" s="99">
        <f t="shared" si="21"/>
        <v>0.87720930232558136</v>
      </c>
      <c r="N59" s="99">
        <f t="shared" si="22"/>
        <v>0.59038759689922482</v>
      </c>
      <c r="O59" s="99">
        <f t="shared" si="23"/>
        <v>1</v>
      </c>
    </row>
    <row r="60" spans="1:15" ht="14.25" customHeight="1" x14ac:dyDescent="0.3">
      <c r="A60" s="38" t="s">
        <v>56</v>
      </c>
      <c r="B60" s="39">
        <v>982</v>
      </c>
      <c r="C60" s="39">
        <v>976</v>
      </c>
      <c r="D60" s="39">
        <v>802</v>
      </c>
      <c r="E60" s="39">
        <v>754</v>
      </c>
      <c r="F60" s="40">
        <v>813.3</v>
      </c>
      <c r="G60" s="39">
        <v>859.7</v>
      </c>
      <c r="I60" s="38" t="s">
        <v>56</v>
      </c>
      <c r="J60" s="99">
        <f t="shared" si="18"/>
        <v>1.1422589275328603</v>
      </c>
      <c r="K60" s="99">
        <f t="shared" si="19"/>
        <v>1.1352797487495638</v>
      </c>
      <c r="L60" s="99">
        <f t="shared" si="20"/>
        <v>0.93288356403396533</v>
      </c>
      <c r="M60" s="99">
        <f t="shared" si="21"/>
        <v>0.87705013376759333</v>
      </c>
      <c r="N60" s="99">
        <f t="shared" si="22"/>
        <v>0.94602768407584026</v>
      </c>
      <c r="O60" s="99">
        <f t="shared" si="23"/>
        <v>1</v>
      </c>
    </row>
    <row r="61" spans="1:15" s="4" customFormat="1" ht="14.25" customHeight="1" x14ac:dyDescent="0.3">
      <c r="A61" s="17" t="s">
        <v>57</v>
      </c>
      <c r="B61" s="18">
        <f t="shared" ref="B61:G61" si="26">SUM(B53:B60)</f>
        <v>4797</v>
      </c>
      <c r="C61" s="18">
        <f t="shared" si="26"/>
        <v>4489</v>
      </c>
      <c r="D61" s="18">
        <f t="shared" si="26"/>
        <v>3627.8</v>
      </c>
      <c r="E61" s="18">
        <f t="shared" si="26"/>
        <v>3534.3</v>
      </c>
      <c r="F61" s="19">
        <f t="shared" si="26"/>
        <v>3680.5</v>
      </c>
      <c r="G61" s="18">
        <f t="shared" si="26"/>
        <v>3914.3999999999996</v>
      </c>
      <c r="I61" s="17" t="s">
        <v>57</v>
      </c>
      <c r="J61" s="99">
        <f t="shared" si="18"/>
        <v>1.2254751686082159</v>
      </c>
      <c r="K61" s="99">
        <f t="shared" si="19"/>
        <v>1.146791334559575</v>
      </c>
      <c r="L61" s="99">
        <f t="shared" si="20"/>
        <v>0.92678315961577773</v>
      </c>
      <c r="M61" s="99">
        <f t="shared" si="21"/>
        <v>0.90289699570815463</v>
      </c>
      <c r="N61" s="99">
        <f t="shared" si="22"/>
        <v>0.94024627018189255</v>
      </c>
      <c r="O61" s="99">
        <f t="shared" si="23"/>
        <v>1</v>
      </c>
    </row>
    <row r="62" spans="1:15" s="4" customFormat="1" ht="14.25" customHeight="1" x14ac:dyDescent="0.3">
      <c r="A62" s="17" t="s">
        <v>58</v>
      </c>
      <c r="B62" s="18">
        <f t="shared" ref="B62:G62" si="27">SUM(B44+B50+B61)</f>
        <v>13864</v>
      </c>
      <c r="C62" s="18">
        <f t="shared" si="27"/>
        <v>12718</v>
      </c>
      <c r="D62" s="18">
        <f t="shared" si="27"/>
        <v>10742.8</v>
      </c>
      <c r="E62" s="18">
        <f t="shared" si="27"/>
        <v>9571.4000000000015</v>
      </c>
      <c r="F62" s="19">
        <f t="shared" si="27"/>
        <v>8722.9</v>
      </c>
      <c r="G62" s="18">
        <f t="shared" si="27"/>
        <v>8141.2</v>
      </c>
      <c r="I62" s="17" t="s">
        <v>58</v>
      </c>
      <c r="J62" s="99">
        <f t="shared" si="18"/>
        <v>1.7029430550778755</v>
      </c>
      <c r="K62" s="99">
        <f t="shared" si="19"/>
        <v>1.5621775659607922</v>
      </c>
      <c r="L62" s="99">
        <f t="shared" si="20"/>
        <v>1.319559770058468</v>
      </c>
      <c r="M62" s="99">
        <f t="shared" si="21"/>
        <v>1.1756743477620009</v>
      </c>
      <c r="N62" s="99">
        <f t="shared" si="22"/>
        <v>1.0714513830884882</v>
      </c>
      <c r="O62" s="99">
        <f t="shared" si="23"/>
        <v>1</v>
      </c>
    </row>
    <row r="63" spans="1:15" ht="14.25" customHeight="1" x14ac:dyDescent="0.3">
      <c r="A63" s="112" t="s">
        <v>59</v>
      </c>
      <c r="B63" s="112"/>
      <c r="C63" s="112"/>
      <c r="D63" s="112"/>
      <c r="E63" s="112"/>
      <c r="F63" s="112"/>
      <c r="G63" s="35"/>
      <c r="I63" s="101" t="s">
        <v>59</v>
      </c>
      <c r="J63" s="102"/>
      <c r="K63" s="102"/>
      <c r="L63" s="102"/>
      <c r="M63" s="102"/>
      <c r="N63" s="102"/>
      <c r="O63" s="100"/>
    </row>
    <row r="64" spans="1:15" ht="14.25" customHeight="1" x14ac:dyDescent="0.3">
      <c r="A64" s="17" t="s">
        <v>60</v>
      </c>
      <c r="B64" s="21"/>
      <c r="C64" s="21"/>
      <c r="D64" s="21"/>
      <c r="E64" s="21"/>
      <c r="F64" s="22"/>
      <c r="G64" s="21"/>
      <c r="I64" s="17" t="s">
        <v>60</v>
      </c>
      <c r="J64" s="41"/>
      <c r="K64" s="41"/>
      <c r="L64" s="41"/>
      <c r="M64" s="41"/>
      <c r="N64" s="41"/>
      <c r="O64" s="10"/>
    </row>
    <row r="65" spans="1:15" ht="14.25" customHeight="1" x14ac:dyDescent="0.3">
      <c r="A65" s="38" t="s">
        <v>61</v>
      </c>
      <c r="B65" s="39">
        <v>831</v>
      </c>
      <c r="C65" s="39">
        <v>850</v>
      </c>
      <c r="D65" s="39">
        <v>844</v>
      </c>
      <c r="E65" s="39">
        <v>978.3</v>
      </c>
      <c r="F65" s="40">
        <v>1201.4000000000001</v>
      </c>
      <c r="G65" s="39">
        <v>1104.8</v>
      </c>
      <c r="I65" s="38" t="s">
        <v>61</v>
      </c>
      <c r="J65" s="99">
        <f t="shared" ref="J65:N65" si="28">B65/$G65</f>
        <v>0.75217233888486612</v>
      </c>
      <c r="K65" s="99">
        <f t="shared" si="28"/>
        <v>0.76937002172338886</v>
      </c>
      <c r="L65" s="99">
        <f t="shared" si="28"/>
        <v>0.76393917451122373</v>
      </c>
      <c r="M65" s="99">
        <f t="shared" si="28"/>
        <v>0.88549963794351916</v>
      </c>
      <c r="N65" s="99">
        <f t="shared" si="28"/>
        <v>1.0874366401158582</v>
      </c>
      <c r="O65" s="99">
        <f>G65/$G65</f>
        <v>1</v>
      </c>
    </row>
    <row r="66" spans="1:15" ht="14.25" customHeight="1" x14ac:dyDescent="0.3">
      <c r="A66" s="38" t="s">
        <v>62</v>
      </c>
      <c r="B66" s="39">
        <v>381</v>
      </c>
      <c r="C66" s="39">
        <v>457</v>
      </c>
      <c r="D66" s="39">
        <v>227</v>
      </c>
      <c r="E66" s="39">
        <v>172.6</v>
      </c>
      <c r="F66" s="40">
        <v>260.60000000000002</v>
      </c>
      <c r="G66" s="39">
        <v>164.4</v>
      </c>
      <c r="I66" s="38" t="s">
        <v>62</v>
      </c>
      <c r="J66" s="99">
        <f t="shared" ref="J66:J93" si="29">B66/$G66</f>
        <v>2.3175182481751824</v>
      </c>
      <c r="K66" s="99">
        <f t="shared" ref="K66:K93" si="30">C66/$G66</f>
        <v>2.7798053527980535</v>
      </c>
      <c r="L66" s="99">
        <f t="shared" ref="L66:L93" si="31">D66/$G66</f>
        <v>1.3807785888077859</v>
      </c>
      <c r="M66" s="99">
        <f t="shared" ref="M66:M93" si="32">E66/$G66</f>
        <v>1.0498783454987834</v>
      </c>
      <c r="N66" s="99">
        <f t="shared" ref="N66:N93" si="33">F66/$G66</f>
        <v>1.5851581508515815</v>
      </c>
      <c r="O66" s="99">
        <f t="shared" ref="O66:O93" si="34">G66/$G66</f>
        <v>1</v>
      </c>
    </row>
    <row r="67" spans="1:15" ht="14.25" customHeight="1" x14ac:dyDescent="0.3">
      <c r="A67" s="38" t="s">
        <v>63</v>
      </c>
      <c r="B67" s="39">
        <v>70</v>
      </c>
      <c r="C67" s="39">
        <v>72</v>
      </c>
      <c r="D67" s="39">
        <v>37</v>
      </c>
      <c r="E67" s="39">
        <v>66.8</v>
      </c>
      <c r="F67" s="40">
        <v>87.7</v>
      </c>
      <c r="G67" s="39">
        <v>78.099999999999994</v>
      </c>
      <c r="I67" s="38" t="s">
        <v>63</v>
      </c>
      <c r="J67" s="99">
        <f t="shared" si="29"/>
        <v>0.89628681177976954</v>
      </c>
      <c r="K67" s="99">
        <f t="shared" si="30"/>
        <v>0.92189500640204869</v>
      </c>
      <c r="L67" s="99">
        <f t="shared" si="31"/>
        <v>0.47375160051216392</v>
      </c>
      <c r="M67" s="99">
        <f t="shared" si="32"/>
        <v>0.85531370038412291</v>
      </c>
      <c r="N67" s="99">
        <f t="shared" si="33"/>
        <v>1.1229193341869399</v>
      </c>
      <c r="O67" s="99">
        <f t="shared" si="34"/>
        <v>1</v>
      </c>
    </row>
    <row r="68" spans="1:15" ht="14.25" customHeight="1" x14ac:dyDescent="0.3">
      <c r="A68" s="38" t="s">
        <v>64</v>
      </c>
      <c r="B68" s="39">
        <v>11</v>
      </c>
      <c r="C68" s="39">
        <v>24</v>
      </c>
      <c r="D68" s="39">
        <v>35</v>
      </c>
      <c r="E68" s="39">
        <v>31.2</v>
      </c>
      <c r="F68" s="40">
        <v>24.6</v>
      </c>
      <c r="G68" s="39">
        <v>31.6</v>
      </c>
      <c r="I68" s="38" t="s">
        <v>64</v>
      </c>
      <c r="J68" s="99">
        <f t="shared" si="29"/>
        <v>0.34810126582278478</v>
      </c>
      <c r="K68" s="99">
        <f t="shared" si="30"/>
        <v>0.75949367088607589</v>
      </c>
      <c r="L68" s="99">
        <f t="shared" si="31"/>
        <v>1.1075949367088607</v>
      </c>
      <c r="M68" s="99">
        <f t="shared" si="32"/>
        <v>0.98734177215189867</v>
      </c>
      <c r="N68" s="99">
        <f t="shared" si="33"/>
        <v>0.77848101265822789</v>
      </c>
      <c r="O68" s="99">
        <f t="shared" si="34"/>
        <v>1</v>
      </c>
    </row>
    <row r="69" spans="1:15" ht="14.25" customHeight="1" x14ac:dyDescent="0.3">
      <c r="A69" s="38" t="s">
        <v>65</v>
      </c>
      <c r="B69" s="39"/>
      <c r="C69" s="39"/>
      <c r="D69" s="39">
        <v>0</v>
      </c>
      <c r="E69" s="39">
        <v>16</v>
      </c>
      <c r="F69" s="40">
        <v>8</v>
      </c>
      <c r="G69" s="39">
        <v>8.4</v>
      </c>
      <c r="I69" s="38" t="s">
        <v>65</v>
      </c>
      <c r="J69" s="99">
        <f t="shared" si="29"/>
        <v>0</v>
      </c>
      <c r="K69" s="99">
        <f t="shared" si="30"/>
        <v>0</v>
      </c>
      <c r="L69" s="99">
        <f t="shared" si="31"/>
        <v>0</v>
      </c>
      <c r="M69" s="99">
        <f t="shared" si="32"/>
        <v>1.9047619047619047</v>
      </c>
      <c r="N69" s="99">
        <f t="shared" si="33"/>
        <v>0.95238095238095233</v>
      </c>
      <c r="O69" s="99">
        <f t="shared" si="34"/>
        <v>1</v>
      </c>
    </row>
    <row r="70" spans="1:15" ht="14.25" customHeight="1" x14ac:dyDescent="0.3">
      <c r="A70" s="38" t="s">
        <v>66</v>
      </c>
      <c r="B70" s="39">
        <v>58</v>
      </c>
      <c r="C70" s="39">
        <v>75</v>
      </c>
      <c r="D70" s="39">
        <v>139</v>
      </c>
      <c r="E70" s="39">
        <v>25.3</v>
      </c>
      <c r="F70" s="40">
        <v>0</v>
      </c>
      <c r="G70" s="39">
        <v>0</v>
      </c>
      <c r="I70" s="38" t="s">
        <v>66</v>
      </c>
      <c r="J70" s="99"/>
      <c r="K70" s="99"/>
      <c r="L70" s="99"/>
      <c r="M70" s="99"/>
      <c r="N70" s="99"/>
      <c r="O70" s="99"/>
    </row>
    <row r="71" spans="1:15" ht="14.25" customHeight="1" x14ac:dyDescent="0.3">
      <c r="A71" s="42" t="s">
        <v>67</v>
      </c>
      <c r="B71" s="43"/>
      <c r="C71" s="43"/>
      <c r="D71" s="43"/>
      <c r="E71" s="43"/>
      <c r="F71" s="44"/>
      <c r="G71" s="43"/>
      <c r="I71" s="42" t="s">
        <v>67</v>
      </c>
      <c r="J71" s="99"/>
      <c r="K71" s="99"/>
      <c r="L71" s="99"/>
      <c r="M71" s="99"/>
      <c r="N71" s="99"/>
      <c r="O71" s="99"/>
    </row>
    <row r="72" spans="1:15" ht="14.25" customHeight="1" x14ac:dyDescent="0.3">
      <c r="A72" s="38" t="s">
        <v>68</v>
      </c>
      <c r="B72" s="39">
        <v>301</v>
      </c>
      <c r="C72" s="39">
        <v>234</v>
      </c>
      <c r="D72" s="39">
        <v>224</v>
      </c>
      <c r="E72" s="39">
        <v>205.9</v>
      </c>
      <c r="F72" s="40">
        <v>216.9</v>
      </c>
      <c r="G72" s="39">
        <v>202.1</v>
      </c>
      <c r="I72" s="38" t="s">
        <v>68</v>
      </c>
      <c r="J72" s="99">
        <f t="shared" si="29"/>
        <v>1.4893617021276597</v>
      </c>
      <c r="K72" s="99">
        <f t="shared" si="30"/>
        <v>1.1578426521523999</v>
      </c>
      <c r="L72" s="99">
        <f t="shared" si="31"/>
        <v>1.1083621969322117</v>
      </c>
      <c r="M72" s="99">
        <f t="shared" si="32"/>
        <v>1.0188025729836716</v>
      </c>
      <c r="N72" s="99">
        <f t="shared" si="33"/>
        <v>1.0732310737258783</v>
      </c>
      <c r="O72" s="99">
        <f t="shared" si="34"/>
        <v>1</v>
      </c>
    </row>
    <row r="73" spans="1:15" ht="14.25" customHeight="1" x14ac:dyDescent="0.3">
      <c r="A73" s="38" t="s">
        <v>70</v>
      </c>
      <c r="B73" s="39">
        <v>351</v>
      </c>
      <c r="C73" s="39">
        <v>340</v>
      </c>
      <c r="D73" s="39">
        <v>365</v>
      </c>
      <c r="E73" s="39">
        <v>0</v>
      </c>
      <c r="F73" s="40">
        <v>0</v>
      </c>
      <c r="G73" s="39">
        <v>0</v>
      </c>
      <c r="I73" s="38" t="s">
        <v>70</v>
      </c>
      <c r="J73" s="99"/>
      <c r="K73" s="99"/>
      <c r="L73" s="99"/>
      <c r="M73" s="99"/>
      <c r="N73" s="99"/>
      <c r="O73" s="99"/>
    </row>
    <row r="74" spans="1:15" ht="14.25" customHeight="1" x14ac:dyDescent="0.3">
      <c r="A74" s="38" t="s">
        <v>71</v>
      </c>
      <c r="B74" s="39">
        <v>0</v>
      </c>
      <c r="C74" s="39">
        <v>0</v>
      </c>
      <c r="D74" s="39">
        <v>0</v>
      </c>
      <c r="E74" s="39">
        <v>0</v>
      </c>
      <c r="F74" s="40">
        <v>0</v>
      </c>
      <c r="G74" s="39">
        <v>174.2</v>
      </c>
      <c r="I74" s="38" t="s">
        <v>71</v>
      </c>
      <c r="J74" s="99">
        <f t="shared" si="29"/>
        <v>0</v>
      </c>
      <c r="K74" s="99">
        <f t="shared" si="30"/>
        <v>0</v>
      </c>
      <c r="L74" s="99">
        <f t="shared" si="31"/>
        <v>0</v>
      </c>
      <c r="M74" s="99">
        <f t="shared" si="32"/>
        <v>0</v>
      </c>
      <c r="N74" s="99">
        <f t="shared" si="33"/>
        <v>0</v>
      </c>
      <c r="O74" s="99">
        <f t="shared" si="34"/>
        <v>1</v>
      </c>
    </row>
    <row r="75" spans="1:15" ht="14.25" customHeight="1" x14ac:dyDescent="0.3">
      <c r="A75" s="38" t="s">
        <v>72</v>
      </c>
      <c r="B75" s="39">
        <v>308</v>
      </c>
      <c r="C75" s="39">
        <v>384</v>
      </c>
      <c r="D75" s="39">
        <v>112</v>
      </c>
      <c r="E75" s="39">
        <v>146.19999999999999</v>
      </c>
      <c r="F75" s="40">
        <v>148.1</v>
      </c>
      <c r="G75" s="39">
        <v>79.2</v>
      </c>
      <c r="I75" s="38" t="s">
        <v>72</v>
      </c>
      <c r="J75" s="99">
        <f t="shared" si="29"/>
        <v>3.8888888888888888</v>
      </c>
      <c r="K75" s="99">
        <f t="shared" si="30"/>
        <v>4.8484848484848486</v>
      </c>
      <c r="L75" s="99">
        <f t="shared" si="31"/>
        <v>1.4141414141414141</v>
      </c>
      <c r="M75" s="99">
        <f t="shared" si="32"/>
        <v>1.8459595959595958</v>
      </c>
      <c r="N75" s="99">
        <f t="shared" si="33"/>
        <v>1.8699494949494948</v>
      </c>
      <c r="O75" s="99">
        <f t="shared" si="34"/>
        <v>1</v>
      </c>
    </row>
    <row r="76" spans="1:15" ht="14.25" customHeight="1" x14ac:dyDescent="0.3">
      <c r="A76" s="38" t="s">
        <v>73</v>
      </c>
      <c r="B76" s="39">
        <v>284</v>
      </c>
      <c r="C76" s="39">
        <v>155</v>
      </c>
      <c r="D76" s="39">
        <v>177</v>
      </c>
      <c r="E76" s="39">
        <v>157.30000000000001</v>
      </c>
      <c r="F76" s="40">
        <v>142.80000000000001</v>
      </c>
      <c r="G76" s="39">
        <v>171.1</v>
      </c>
      <c r="I76" s="38" t="s">
        <v>73</v>
      </c>
      <c r="J76" s="99">
        <f t="shared" si="29"/>
        <v>1.6598480420806547</v>
      </c>
      <c r="K76" s="99">
        <f t="shared" si="30"/>
        <v>0.90590298071303332</v>
      </c>
      <c r="L76" s="99">
        <f t="shared" si="31"/>
        <v>1.0344827586206897</v>
      </c>
      <c r="M76" s="99">
        <f t="shared" si="32"/>
        <v>0.91934541203974296</v>
      </c>
      <c r="N76" s="99">
        <f t="shared" si="33"/>
        <v>0.83459964932787856</v>
      </c>
      <c r="O76" s="99">
        <f t="shared" si="34"/>
        <v>1</v>
      </c>
    </row>
    <row r="77" spans="1:15" ht="14.25" customHeight="1" x14ac:dyDescent="0.3">
      <c r="A77" s="38" t="s">
        <v>74</v>
      </c>
      <c r="B77" s="39">
        <v>1191</v>
      </c>
      <c r="C77" s="39">
        <v>1095</v>
      </c>
      <c r="D77" s="39">
        <v>1348</v>
      </c>
      <c r="E77" s="39">
        <v>1311.4</v>
      </c>
      <c r="F77" s="40">
        <v>1208.7</v>
      </c>
      <c r="G77" s="39">
        <v>1036.7</v>
      </c>
      <c r="I77" s="38" t="s">
        <v>74</v>
      </c>
      <c r="J77" s="99">
        <f t="shared" si="29"/>
        <v>1.1488376579531203</v>
      </c>
      <c r="K77" s="99">
        <f t="shared" si="30"/>
        <v>1.0562361338863702</v>
      </c>
      <c r="L77" s="99">
        <f t="shared" si="31"/>
        <v>1.3002797337706182</v>
      </c>
      <c r="M77" s="99">
        <f t="shared" si="32"/>
        <v>1.2649754027201698</v>
      </c>
      <c r="N77" s="99">
        <f t="shared" si="33"/>
        <v>1.1659110639529275</v>
      </c>
      <c r="O77" s="99">
        <f t="shared" si="34"/>
        <v>1</v>
      </c>
    </row>
    <row r="78" spans="1:15" ht="14.25" customHeight="1" x14ac:dyDescent="0.3">
      <c r="A78" s="38" t="s">
        <v>75</v>
      </c>
      <c r="B78" s="39">
        <v>274</v>
      </c>
      <c r="C78" s="39">
        <v>215</v>
      </c>
      <c r="D78" s="39">
        <v>216</v>
      </c>
      <c r="E78" s="39">
        <v>239.2</v>
      </c>
      <c r="F78" s="40">
        <v>234.2</v>
      </c>
      <c r="G78" s="39">
        <v>291.39999999999998</v>
      </c>
      <c r="I78" s="38" t="s">
        <v>75</v>
      </c>
      <c r="J78" s="99">
        <f t="shared" si="29"/>
        <v>0.94028826355525064</v>
      </c>
      <c r="K78" s="99">
        <f t="shared" si="30"/>
        <v>0.73781743308167469</v>
      </c>
      <c r="L78" s="99">
        <f t="shared" si="31"/>
        <v>0.74124914207275228</v>
      </c>
      <c r="M78" s="99">
        <f t="shared" si="32"/>
        <v>0.82086479066575158</v>
      </c>
      <c r="N78" s="99">
        <f t="shared" si="33"/>
        <v>0.80370624571036375</v>
      </c>
      <c r="O78" s="99">
        <f t="shared" si="34"/>
        <v>1</v>
      </c>
    </row>
    <row r="79" spans="1:15" s="4" customFormat="1" ht="14.25" customHeight="1" x14ac:dyDescent="0.3">
      <c r="A79" s="17" t="s">
        <v>76</v>
      </c>
      <c r="B79" s="18">
        <f t="shared" ref="B79:G79" si="35">SUM(B65:B78)</f>
        <v>4060</v>
      </c>
      <c r="C79" s="18">
        <f t="shared" si="35"/>
        <v>3901</v>
      </c>
      <c r="D79" s="18">
        <f t="shared" si="35"/>
        <v>3724</v>
      </c>
      <c r="E79" s="18">
        <f t="shared" si="35"/>
        <v>3350.2</v>
      </c>
      <c r="F79" s="19">
        <f t="shared" si="35"/>
        <v>3533</v>
      </c>
      <c r="G79" s="18">
        <f t="shared" si="35"/>
        <v>3342</v>
      </c>
      <c r="I79" s="17" t="s">
        <v>76</v>
      </c>
      <c r="J79" s="99">
        <f t="shared" si="29"/>
        <v>1.2148414123279474</v>
      </c>
      <c r="K79" s="99">
        <f t="shared" si="30"/>
        <v>1.1672651107121483</v>
      </c>
      <c r="L79" s="99">
        <f t="shared" si="31"/>
        <v>1.1143028126870138</v>
      </c>
      <c r="M79" s="99">
        <f t="shared" si="32"/>
        <v>1.0024536205864751</v>
      </c>
      <c r="N79" s="99">
        <f t="shared" si="33"/>
        <v>1.0571514063435068</v>
      </c>
      <c r="O79" s="99">
        <f t="shared" si="34"/>
        <v>1</v>
      </c>
    </row>
    <row r="80" spans="1:15" ht="14.25" customHeight="1" x14ac:dyDescent="0.3">
      <c r="A80" s="10"/>
      <c r="B80" s="21"/>
      <c r="C80" s="21"/>
      <c r="D80" s="21"/>
      <c r="E80" s="21"/>
      <c r="F80" s="22"/>
      <c r="G80" s="21"/>
      <c r="I80" s="10"/>
      <c r="J80" s="99"/>
      <c r="K80" s="99"/>
      <c r="L80" s="99"/>
      <c r="M80" s="99"/>
      <c r="N80" s="99"/>
      <c r="O80" s="99"/>
    </row>
    <row r="81" spans="1:15" ht="14.25" customHeight="1" x14ac:dyDescent="0.3">
      <c r="A81" s="17" t="s">
        <v>77</v>
      </c>
      <c r="B81" s="21"/>
      <c r="C81" s="21"/>
      <c r="D81" s="21"/>
      <c r="E81" s="21"/>
      <c r="F81" s="22"/>
      <c r="G81" s="21"/>
      <c r="I81" s="17" t="s">
        <v>77</v>
      </c>
      <c r="J81" s="99"/>
      <c r="K81" s="99"/>
      <c r="L81" s="99"/>
      <c r="M81" s="99"/>
      <c r="N81" s="99"/>
      <c r="O81" s="99"/>
    </row>
    <row r="82" spans="1:15" ht="14.25" customHeight="1" x14ac:dyDescent="0.3">
      <c r="A82" s="38" t="s">
        <v>78</v>
      </c>
      <c r="B82" s="39">
        <v>2659</v>
      </c>
      <c r="C82" s="39">
        <v>2305</v>
      </c>
      <c r="D82" s="39">
        <v>2063</v>
      </c>
      <c r="E82" s="39">
        <v>2230</v>
      </c>
      <c r="F82" s="40">
        <v>2164.3000000000002</v>
      </c>
      <c r="G82" s="39">
        <v>1981</v>
      </c>
      <c r="I82" s="38" t="s">
        <v>78</v>
      </c>
      <c r="J82" s="99">
        <f t="shared" si="29"/>
        <v>1.342251388187784</v>
      </c>
      <c r="K82" s="99">
        <f t="shared" si="30"/>
        <v>1.1635537607269055</v>
      </c>
      <c r="L82" s="99">
        <f t="shared" si="31"/>
        <v>1.0413932357395255</v>
      </c>
      <c r="M82" s="99">
        <f t="shared" si="32"/>
        <v>1.1256940938919737</v>
      </c>
      <c r="N82" s="99">
        <f t="shared" si="33"/>
        <v>1.0925290257445734</v>
      </c>
      <c r="O82" s="99">
        <f t="shared" si="34"/>
        <v>1</v>
      </c>
    </row>
    <row r="83" spans="1:15" ht="14.25" customHeight="1" x14ac:dyDescent="0.3">
      <c r="A83" s="42" t="s">
        <v>67</v>
      </c>
      <c r="B83" s="43"/>
      <c r="C83" s="43"/>
      <c r="D83" s="43"/>
      <c r="E83" s="43"/>
      <c r="F83" s="44"/>
      <c r="G83" s="43"/>
      <c r="I83" s="42" t="s">
        <v>67</v>
      </c>
      <c r="J83" s="99"/>
      <c r="K83" s="99"/>
      <c r="L83" s="99"/>
      <c r="M83" s="99"/>
      <c r="N83" s="99"/>
      <c r="O83" s="99"/>
    </row>
    <row r="84" spans="1:15" ht="14.25" customHeight="1" x14ac:dyDescent="0.3">
      <c r="A84" s="38" t="s">
        <v>79</v>
      </c>
      <c r="B84" s="39">
        <v>1153</v>
      </c>
      <c r="C84" s="39">
        <v>873</v>
      </c>
      <c r="D84" s="39">
        <v>599</v>
      </c>
      <c r="E84" s="39">
        <v>255.8</v>
      </c>
      <c r="F84" s="40">
        <v>222.1</v>
      </c>
      <c r="G84" s="39">
        <v>0</v>
      </c>
      <c r="I84" s="38" t="s">
        <v>79</v>
      </c>
      <c r="J84" s="99"/>
      <c r="K84" s="99"/>
      <c r="L84" s="99"/>
      <c r="M84" s="99"/>
      <c r="N84" s="99"/>
      <c r="O84" s="99"/>
    </row>
    <row r="85" spans="1:15" ht="14.25" customHeight="1" x14ac:dyDescent="0.3">
      <c r="A85" s="38" t="s">
        <v>70</v>
      </c>
      <c r="B85" s="39">
        <v>3592</v>
      </c>
      <c r="C85" s="39">
        <v>3288</v>
      </c>
      <c r="D85" s="39">
        <v>2763</v>
      </c>
      <c r="E85" s="39">
        <v>2382.8000000000002</v>
      </c>
      <c r="F85" s="40">
        <v>2302.1</v>
      </c>
      <c r="G85" s="39">
        <v>2160.1</v>
      </c>
      <c r="I85" s="38" t="s">
        <v>70</v>
      </c>
      <c r="J85" s="99">
        <f t="shared" si="29"/>
        <v>1.6628859775010416</v>
      </c>
      <c r="K85" s="99">
        <f t="shared" si="30"/>
        <v>1.5221517522336929</v>
      </c>
      <c r="L85" s="99">
        <f t="shared" si="31"/>
        <v>1.2791074487292255</v>
      </c>
      <c r="M85" s="99">
        <f t="shared" si="32"/>
        <v>1.1030970788389427</v>
      </c>
      <c r="N85" s="99">
        <f t="shared" si="33"/>
        <v>1.0657376973288273</v>
      </c>
      <c r="O85" s="99">
        <f t="shared" si="34"/>
        <v>1</v>
      </c>
    </row>
    <row r="86" spans="1:15" ht="14.25" customHeight="1" x14ac:dyDescent="0.3">
      <c r="A86" s="38" t="s">
        <v>80</v>
      </c>
      <c r="B86" s="39">
        <v>855</v>
      </c>
      <c r="C86" s="39">
        <v>1150</v>
      </c>
      <c r="D86" s="39">
        <v>1021</v>
      </c>
      <c r="E86" s="39">
        <v>81.400000000000006</v>
      </c>
      <c r="F86" s="40">
        <v>27</v>
      </c>
      <c r="G86" s="39">
        <v>49.2</v>
      </c>
      <c r="I86" s="38" t="s">
        <v>80</v>
      </c>
      <c r="J86" s="99">
        <f t="shared" si="29"/>
        <v>17.378048780487802</v>
      </c>
      <c r="K86" s="99">
        <f t="shared" si="30"/>
        <v>23.373983739837396</v>
      </c>
      <c r="L86" s="99">
        <f t="shared" si="31"/>
        <v>20.752032520325201</v>
      </c>
      <c r="M86" s="99">
        <f t="shared" si="32"/>
        <v>1.6544715447154472</v>
      </c>
      <c r="N86" s="99">
        <f t="shared" si="33"/>
        <v>0.54878048780487798</v>
      </c>
      <c r="O86" s="99">
        <f t="shared" si="34"/>
        <v>1</v>
      </c>
    </row>
    <row r="87" spans="1:15" ht="14.25" customHeight="1" x14ac:dyDescent="0.3">
      <c r="A87" s="38" t="s">
        <v>81</v>
      </c>
      <c r="B87" s="39">
        <v>1027</v>
      </c>
      <c r="C87" s="39">
        <v>623</v>
      </c>
      <c r="D87" s="39">
        <v>188</v>
      </c>
      <c r="E87" s="39">
        <v>76.8</v>
      </c>
      <c r="F87" s="40">
        <v>5.8</v>
      </c>
      <c r="G87" s="39">
        <v>6.1</v>
      </c>
      <c r="I87" s="38" t="s">
        <v>81</v>
      </c>
      <c r="J87" s="99">
        <f t="shared" si="29"/>
        <v>168.36065573770492</v>
      </c>
      <c r="K87" s="99">
        <f t="shared" si="30"/>
        <v>102.13114754098362</v>
      </c>
      <c r="L87" s="99">
        <f t="shared" si="31"/>
        <v>30.819672131147541</v>
      </c>
      <c r="M87" s="99">
        <f t="shared" si="32"/>
        <v>12.590163934426229</v>
      </c>
      <c r="N87" s="99">
        <f t="shared" si="33"/>
        <v>0.9508196721311476</v>
      </c>
      <c r="O87" s="99">
        <f t="shared" si="34"/>
        <v>1</v>
      </c>
    </row>
    <row r="88" spans="1:15" ht="14.25" customHeight="1" x14ac:dyDescent="0.3">
      <c r="A88" s="38" t="s">
        <v>71</v>
      </c>
      <c r="B88" s="39">
        <v>1</v>
      </c>
      <c r="C88" s="39">
        <v>22</v>
      </c>
      <c r="D88" s="39">
        <v>10</v>
      </c>
      <c r="E88" s="39">
        <v>108.7</v>
      </c>
      <c r="F88" s="40">
        <v>138.80000000000001</v>
      </c>
      <c r="G88" s="39">
        <v>100.5</v>
      </c>
      <c r="I88" s="38" t="s">
        <v>71</v>
      </c>
      <c r="J88" s="99">
        <f t="shared" si="29"/>
        <v>9.9502487562189053E-3</v>
      </c>
      <c r="K88" s="99">
        <f t="shared" si="30"/>
        <v>0.21890547263681592</v>
      </c>
      <c r="L88" s="99">
        <f t="shared" si="31"/>
        <v>9.950248756218906E-2</v>
      </c>
      <c r="M88" s="99">
        <f t="shared" si="32"/>
        <v>1.0815920398009951</v>
      </c>
      <c r="N88" s="99">
        <f t="shared" si="33"/>
        <v>1.3810945273631843</v>
      </c>
      <c r="O88" s="99">
        <f t="shared" si="34"/>
        <v>1</v>
      </c>
    </row>
    <row r="89" spans="1:15" ht="14.25" customHeight="1" x14ac:dyDescent="0.3">
      <c r="A89" s="38" t="s">
        <v>72</v>
      </c>
      <c r="B89" s="39">
        <v>59</v>
      </c>
      <c r="C89" s="39">
        <v>259</v>
      </c>
      <c r="D89" s="39">
        <v>40</v>
      </c>
      <c r="E89" s="39">
        <v>136.5</v>
      </c>
      <c r="F89" s="40">
        <v>80.599999999999994</v>
      </c>
      <c r="G89" s="39">
        <v>204.7</v>
      </c>
      <c r="I89" s="38" t="s">
        <v>72</v>
      </c>
      <c r="J89" s="99">
        <f t="shared" si="29"/>
        <v>0.28822667318026379</v>
      </c>
      <c r="K89" s="99">
        <f t="shared" si="30"/>
        <v>1.265266243282853</v>
      </c>
      <c r="L89" s="99">
        <f t="shared" si="31"/>
        <v>0.19540791402051785</v>
      </c>
      <c r="M89" s="99">
        <f t="shared" si="32"/>
        <v>0.66682950659501716</v>
      </c>
      <c r="N89" s="99">
        <f t="shared" si="33"/>
        <v>0.39374694675134342</v>
      </c>
      <c r="O89" s="99">
        <f t="shared" si="34"/>
        <v>1</v>
      </c>
    </row>
    <row r="90" spans="1:15" ht="14.25" customHeight="1" x14ac:dyDescent="0.3">
      <c r="A90" s="38" t="s">
        <v>82</v>
      </c>
      <c r="B90" s="39">
        <v>391</v>
      </c>
      <c r="C90" s="39">
        <v>297</v>
      </c>
      <c r="D90" s="39">
        <v>334</v>
      </c>
      <c r="E90" s="39">
        <v>257.8</v>
      </c>
      <c r="F90" s="40">
        <v>249</v>
      </c>
      <c r="G90" s="39">
        <v>297.60000000000002</v>
      </c>
      <c r="I90" s="38" t="s">
        <v>82</v>
      </c>
      <c r="J90" s="99">
        <f t="shared" si="29"/>
        <v>1.3138440860215053</v>
      </c>
      <c r="K90" s="99">
        <f t="shared" si="30"/>
        <v>0.99798387096774188</v>
      </c>
      <c r="L90" s="99">
        <f t="shared" si="31"/>
        <v>1.1223118279569892</v>
      </c>
      <c r="M90" s="99">
        <f t="shared" si="32"/>
        <v>0.86626344086021501</v>
      </c>
      <c r="N90" s="99">
        <f t="shared" si="33"/>
        <v>0.83669354838709675</v>
      </c>
      <c r="O90" s="99">
        <f t="shared" si="34"/>
        <v>1</v>
      </c>
    </row>
    <row r="91" spans="1:15" ht="14.25" customHeight="1" x14ac:dyDescent="0.3">
      <c r="A91" s="38" t="s">
        <v>83</v>
      </c>
      <c r="B91" s="39">
        <v>67</v>
      </c>
      <c r="C91" s="39">
        <v>0</v>
      </c>
      <c r="D91" s="39">
        <v>0</v>
      </c>
      <c r="E91" s="39">
        <v>0</v>
      </c>
      <c r="F91" s="40">
        <v>0</v>
      </c>
      <c r="G91" s="39">
        <v>0</v>
      </c>
      <c r="I91" s="38" t="s">
        <v>83</v>
      </c>
      <c r="J91" s="99"/>
      <c r="K91" s="99"/>
      <c r="L91" s="99"/>
      <c r="M91" s="99"/>
      <c r="N91" s="99"/>
      <c r="O91" s="99"/>
    </row>
    <row r="92" spans="1:15" s="4" customFormat="1" ht="14.25" customHeight="1" x14ac:dyDescent="0.3">
      <c r="A92" s="17" t="s">
        <v>84</v>
      </c>
      <c r="B92" s="18">
        <f t="shared" ref="B92:G92" si="36">SUM(B82:B91)</f>
        <v>9804</v>
      </c>
      <c r="C92" s="18">
        <f t="shared" si="36"/>
        <v>8817</v>
      </c>
      <c r="D92" s="18">
        <f t="shared" si="36"/>
        <v>7018</v>
      </c>
      <c r="E92" s="18">
        <f t="shared" si="36"/>
        <v>5529.8</v>
      </c>
      <c r="F92" s="19">
        <f t="shared" si="36"/>
        <v>5189.7000000000007</v>
      </c>
      <c r="G92" s="18">
        <f t="shared" si="36"/>
        <v>4799.2000000000007</v>
      </c>
      <c r="I92" s="17" t="s">
        <v>84</v>
      </c>
      <c r="J92" s="99">
        <f t="shared" si="29"/>
        <v>2.0428404734122352</v>
      </c>
      <c r="K92" s="99">
        <f t="shared" si="30"/>
        <v>1.837181196866144</v>
      </c>
      <c r="L92" s="99">
        <f t="shared" si="31"/>
        <v>1.4623270545090847</v>
      </c>
      <c r="M92" s="99">
        <f t="shared" si="32"/>
        <v>1.1522337056176029</v>
      </c>
      <c r="N92" s="99">
        <f t="shared" si="33"/>
        <v>1.0813677279546592</v>
      </c>
      <c r="O92" s="99">
        <f t="shared" si="34"/>
        <v>1</v>
      </c>
    </row>
    <row r="93" spans="1:15" s="4" customFormat="1" ht="14.25" customHeight="1" x14ac:dyDescent="0.3">
      <c r="A93" s="17" t="s">
        <v>85</v>
      </c>
      <c r="B93" s="18">
        <f t="shared" ref="B93:G93" si="37">SUM(B79,B92)</f>
        <v>13864</v>
      </c>
      <c r="C93" s="18">
        <f t="shared" si="37"/>
        <v>12718</v>
      </c>
      <c r="D93" s="18">
        <f t="shared" si="37"/>
        <v>10742</v>
      </c>
      <c r="E93" s="18">
        <f t="shared" si="37"/>
        <v>8880</v>
      </c>
      <c r="F93" s="19">
        <f t="shared" si="37"/>
        <v>8722.7000000000007</v>
      </c>
      <c r="G93" s="18">
        <f t="shared" si="37"/>
        <v>8141.2000000000007</v>
      </c>
      <c r="I93" s="17" t="s">
        <v>85</v>
      </c>
      <c r="J93" s="99">
        <f t="shared" si="29"/>
        <v>1.7029430550778752</v>
      </c>
      <c r="K93" s="99">
        <f t="shared" si="30"/>
        <v>1.5621775659607919</v>
      </c>
      <c r="L93" s="99">
        <f t="shared" si="31"/>
        <v>1.3194615044465188</v>
      </c>
      <c r="M93" s="99">
        <f t="shared" si="32"/>
        <v>1.0907482926349923</v>
      </c>
      <c r="N93" s="99">
        <f t="shared" si="33"/>
        <v>1.071426816685501</v>
      </c>
      <c r="O93" s="99">
        <f t="shared" si="34"/>
        <v>1</v>
      </c>
    </row>
    <row r="94" spans="1:15" ht="14.25" customHeight="1" x14ac:dyDescent="0.3"/>
    <row r="95" spans="1:15" ht="14.25" customHeight="1" x14ac:dyDescent="0.3"/>
    <row r="96" spans="1:15" ht="14.25" customHeight="1" x14ac:dyDescent="0.3">
      <c r="B96" s="46"/>
      <c r="C96" s="46"/>
      <c r="D96" s="46"/>
      <c r="E96" s="46"/>
      <c r="F96" s="46"/>
      <c r="G96" s="46"/>
    </row>
    <row r="97" spans="1:7" ht="14.25" customHeight="1" x14ac:dyDescent="0.3">
      <c r="A97" s="47" t="s">
        <v>86</v>
      </c>
      <c r="B97" s="21">
        <f>(B85+C85)/2</f>
        <v>3440</v>
      </c>
      <c r="C97" s="21">
        <f>(C85+D85)/2</f>
        <v>3025.5</v>
      </c>
      <c r="D97" s="21">
        <f>(D85+E85)/2</f>
        <v>2572.9</v>
      </c>
      <c r="E97" s="21">
        <f>(E85+F85)/2</f>
        <v>2342.4499999999998</v>
      </c>
      <c r="F97" s="21">
        <f>(F85+G85)/2</f>
        <v>2231.1</v>
      </c>
      <c r="G97" s="48"/>
    </row>
    <row r="98" spans="1:7" ht="14.25" customHeight="1" x14ac:dyDescent="0.3">
      <c r="A98" s="47" t="s">
        <v>87</v>
      </c>
      <c r="B98" s="21">
        <f>(B82+C82)/2</f>
        <v>2482</v>
      </c>
      <c r="C98" s="21">
        <f>(C82+D82)/2</f>
        <v>2184</v>
      </c>
      <c r="D98" s="21">
        <f>(D82+E82)/2</f>
        <v>2146.5</v>
      </c>
      <c r="E98" s="21">
        <f>(E82+F82)/2</f>
        <v>2197.15</v>
      </c>
      <c r="F98" s="21">
        <f>(F82+G82)/2</f>
        <v>2072.65</v>
      </c>
      <c r="G98" s="48"/>
    </row>
    <row r="99" spans="1:7" ht="14.25" customHeight="1" x14ac:dyDescent="0.3">
      <c r="A99" s="47" t="s">
        <v>88</v>
      </c>
      <c r="B99" s="21">
        <f>((B55+B56)+(C55+C56))/2</f>
        <v>2264.5</v>
      </c>
      <c r="C99" s="21">
        <f>((C55+C56)+(D55+D56))/2</f>
        <v>1989.5</v>
      </c>
      <c r="D99" s="21">
        <f>((D55+D56)+(E55+E56))/2</f>
        <v>1782.65</v>
      </c>
      <c r="E99" s="21">
        <f>((E55+E56)+(F55+F56))/2</f>
        <v>1633.1</v>
      </c>
      <c r="F99" s="21">
        <f>((F55+F56)+(G55+G56))/2</f>
        <v>1454.6</v>
      </c>
      <c r="G99" s="48"/>
    </row>
    <row r="100" spans="1:7" ht="14.25" customHeight="1" x14ac:dyDescent="0.3">
      <c r="A100" s="47" t="s">
        <v>89</v>
      </c>
      <c r="B100" s="21">
        <f>(B93+C93)/2</f>
        <v>13291</v>
      </c>
      <c r="C100" s="21">
        <f>(C93+D93)/2</f>
        <v>11730</v>
      </c>
      <c r="D100" s="21">
        <f>(D93+E93)/2</f>
        <v>9811</v>
      </c>
      <c r="E100" s="21">
        <f>(E93+F93)/2</f>
        <v>8801.35</v>
      </c>
      <c r="F100" s="21">
        <f>(F93+G93)/2</f>
        <v>8431.9500000000007</v>
      </c>
      <c r="G100" s="48"/>
    </row>
    <row r="101" spans="1:7" ht="14.25" customHeight="1" x14ac:dyDescent="0.3">
      <c r="A101" s="47" t="s">
        <v>90</v>
      </c>
      <c r="B101" s="21">
        <f>B92-B61</f>
        <v>5007</v>
      </c>
      <c r="C101" s="21">
        <f>C92-C61</f>
        <v>4328</v>
      </c>
      <c r="D101" s="21">
        <f>D92-D61</f>
        <v>3390.2</v>
      </c>
      <c r="E101" s="21">
        <f>E92-E61</f>
        <v>1995.5</v>
      </c>
      <c r="F101" s="21">
        <f>F92-F61</f>
        <v>1509.2000000000007</v>
      </c>
      <c r="G101" s="48"/>
    </row>
    <row r="102" spans="1:7" ht="14.25" customHeight="1" x14ac:dyDescent="0.3">
      <c r="A102" s="47" t="s">
        <v>91</v>
      </c>
      <c r="B102" s="21">
        <f>(B101+C101)/2</f>
        <v>4667.5</v>
      </c>
      <c r="C102" s="21">
        <f>(C101+D101)/2</f>
        <v>3859.1</v>
      </c>
      <c r="D102" s="21">
        <f>(D101+E101)/2</f>
        <v>2692.85</v>
      </c>
      <c r="E102" s="21">
        <f>(E101+F101)/2</f>
        <v>1752.3500000000004</v>
      </c>
      <c r="F102" s="21">
        <f>(F101+G92-G61)/2</f>
        <v>1197.0000000000009</v>
      </c>
      <c r="G102" s="48"/>
    </row>
    <row r="103" spans="1:7" ht="14.25" customHeight="1" x14ac:dyDescent="0.3">
      <c r="A103" s="47" t="s">
        <v>92</v>
      </c>
      <c r="B103" s="21">
        <f>(B44+C44)/2</f>
        <v>8300</v>
      </c>
      <c r="C103" s="21">
        <f>(C44+D44)/2</f>
        <v>7421</v>
      </c>
      <c r="D103" s="21">
        <f>(D44+E44)/2</f>
        <v>6453.75</v>
      </c>
      <c r="E103" s="21">
        <f>(E44+F44)/2</f>
        <v>5418.5</v>
      </c>
      <c r="F103" s="21">
        <f>(F44+G44)/2</f>
        <v>4509.6499999999996</v>
      </c>
      <c r="G103" s="48"/>
    </row>
    <row r="104" spans="1:7" ht="14.25" customHeight="1" x14ac:dyDescent="0.3">
      <c r="B104" s="49"/>
      <c r="C104" s="49"/>
      <c r="D104" s="49"/>
      <c r="E104" s="49"/>
      <c r="F104" s="49"/>
      <c r="G104" s="49"/>
    </row>
    <row r="105" spans="1:7" ht="14.25" customHeight="1" x14ac:dyDescent="0.3">
      <c r="A105" s="5" t="s">
        <v>93</v>
      </c>
    </row>
    <row r="106" spans="1:7" ht="14.25" customHeight="1" x14ac:dyDescent="0.3">
      <c r="A106" s="50" t="s">
        <v>94</v>
      </c>
      <c r="B106" s="8">
        <v>46112</v>
      </c>
      <c r="C106" s="8">
        <v>45747</v>
      </c>
      <c r="D106" s="8">
        <v>45382</v>
      </c>
      <c r="E106" s="8">
        <v>45016</v>
      </c>
      <c r="F106" s="8">
        <v>44651</v>
      </c>
      <c r="G106" s="51"/>
    </row>
    <row r="107" spans="1:7" ht="14.25" customHeight="1" x14ac:dyDescent="0.3">
      <c r="A107" s="10" t="s">
        <v>95</v>
      </c>
      <c r="B107" s="52">
        <f>B92/B61</f>
        <v>2.0437773608505316</v>
      </c>
      <c r="C107" s="52">
        <f>C92/C61</f>
        <v>1.9641345511249722</v>
      </c>
      <c r="D107" s="52">
        <f>D92/D61</f>
        <v>1.9345057610673135</v>
      </c>
      <c r="E107" s="52">
        <f>E92/E61</f>
        <v>1.564609682256741</v>
      </c>
      <c r="F107" s="52">
        <f>F92/F61</f>
        <v>1.4100529819318028</v>
      </c>
      <c r="G107" s="53"/>
    </row>
    <row r="108" spans="1:7" ht="14.25" customHeight="1" x14ac:dyDescent="0.3">
      <c r="A108" s="10" t="s">
        <v>96</v>
      </c>
      <c r="B108" s="52">
        <f>(B92-B82)/B61</f>
        <v>1.4894725870335626</v>
      </c>
      <c r="C108" s="52">
        <f>(C92-C82)/C61</f>
        <v>1.4506571619514368</v>
      </c>
      <c r="D108" s="52">
        <f>(D92-D82)/D61</f>
        <v>1.3658415568664204</v>
      </c>
      <c r="E108" s="52">
        <f>(E92-E82)/E61</f>
        <v>0.93365022776787487</v>
      </c>
      <c r="F108" s="52">
        <f>(F92-F82)/F61</f>
        <v>0.82200787936421693</v>
      </c>
      <c r="G108" s="53"/>
    </row>
    <row r="109" spans="1:7" ht="14.25" customHeight="1" x14ac:dyDescent="0.3">
      <c r="A109" s="10" t="s">
        <v>97</v>
      </c>
      <c r="B109" s="52">
        <f>(B86+B87)/B61</f>
        <v>0.39232853867000206</v>
      </c>
      <c r="C109" s="52">
        <f>(C86+C87)/C61</f>
        <v>0.39496547115170416</v>
      </c>
      <c r="D109" s="52">
        <f>(D86+D87)/D61</f>
        <v>0.33325982689233141</v>
      </c>
      <c r="E109" s="52">
        <f>(E86+E87)/E61</f>
        <v>4.476133887898593E-2</v>
      </c>
      <c r="F109" s="52">
        <f>(F86+F87)/F61</f>
        <v>8.9118326314359449E-3</v>
      </c>
      <c r="G109" s="53"/>
    </row>
    <row r="110" spans="1:7" ht="14.25" customHeight="1" x14ac:dyDescent="0.3">
      <c r="A110" s="54"/>
      <c r="B110" s="53"/>
      <c r="C110" s="55"/>
    </row>
    <row r="111" spans="1:7" ht="14.25" customHeight="1" x14ac:dyDescent="0.3">
      <c r="A111" s="50" t="s">
        <v>98</v>
      </c>
      <c r="B111" s="8">
        <v>46112</v>
      </c>
      <c r="C111" s="8">
        <v>45747</v>
      </c>
      <c r="D111" s="8">
        <v>45382</v>
      </c>
      <c r="E111" s="8">
        <v>45016</v>
      </c>
      <c r="F111" s="8">
        <v>44651</v>
      </c>
      <c r="G111" s="51"/>
    </row>
    <row r="112" spans="1:7" ht="14.25" customHeight="1" x14ac:dyDescent="0.3">
      <c r="A112" s="10" t="s">
        <v>99</v>
      </c>
      <c r="B112" s="56">
        <f>(B61+B50)/B100</f>
        <v>0.38695357760890831</v>
      </c>
      <c r="C112" s="56">
        <f>(C61+C50)/C100</f>
        <v>0.4125319693094629</v>
      </c>
      <c r="D112" s="56">
        <f>(D61+D50)/D100</f>
        <v>0.38526144123942513</v>
      </c>
      <c r="E112" s="56">
        <f>(E61+E50)/E100</f>
        <v>0.41208450976270683</v>
      </c>
      <c r="F112" s="56">
        <f>(F61+F50)/F100</f>
        <v>0.45427214345436107</v>
      </c>
      <c r="G112" s="57"/>
    </row>
    <row r="113" spans="1:7" ht="14.25" customHeight="1" x14ac:dyDescent="0.3">
      <c r="A113" s="10" t="s">
        <v>100</v>
      </c>
      <c r="B113" s="52">
        <f>B50/B103</f>
        <v>4.1686746987951807E-2</v>
      </c>
      <c r="C113" s="52">
        <f>C50/C103</f>
        <v>4.7163455059964964E-2</v>
      </c>
      <c r="D113" s="52">
        <f>D50/D103</f>
        <v>2.3552198334301763E-2</v>
      </c>
      <c r="E113" s="52">
        <f>E50/E103</f>
        <v>1.7089600442927008E-2</v>
      </c>
      <c r="F113" s="52">
        <f>F50/F103</f>
        <v>3.3239830142028762E-2</v>
      </c>
      <c r="G113" s="53"/>
    </row>
    <row r="114" spans="1:7" ht="14.25" customHeight="1" x14ac:dyDescent="0.3">
      <c r="A114" s="10" t="s">
        <v>101</v>
      </c>
      <c r="B114" s="52">
        <f>(B61+B50)/B103</f>
        <v>0.61963855421686742</v>
      </c>
      <c r="C114" s="52">
        <f>(C61+C50)/C103</f>
        <v>0.65206845438620131</v>
      </c>
      <c r="D114" s="52">
        <f>(D61+D50)/D103</f>
        <v>0.58567499515785404</v>
      </c>
      <c r="E114" s="52">
        <f>(E61+E50)/E103</f>
        <v>0.66935498754267786</v>
      </c>
      <c r="F114" s="52">
        <f>(F61+F50)/F103</f>
        <v>0.84937855487676439</v>
      </c>
      <c r="G114" s="53"/>
    </row>
    <row r="115" spans="1:7" ht="14.25" customHeight="1" x14ac:dyDescent="0.3">
      <c r="A115" s="54"/>
      <c r="B115" s="1"/>
      <c r="C115" s="58"/>
    </row>
    <row r="116" spans="1:7" ht="14.25" customHeight="1" x14ac:dyDescent="0.3">
      <c r="A116" s="50" t="s">
        <v>102</v>
      </c>
      <c r="B116" s="8">
        <v>46112</v>
      </c>
      <c r="C116" s="8">
        <v>45747</v>
      </c>
      <c r="D116" s="8">
        <v>45382</v>
      </c>
      <c r="E116" s="8">
        <v>45016</v>
      </c>
      <c r="F116" s="8">
        <v>44651</v>
      </c>
      <c r="G116" s="51"/>
    </row>
    <row r="117" spans="1:7" ht="14.25" customHeight="1" x14ac:dyDescent="0.3">
      <c r="A117" s="10" t="s">
        <v>103</v>
      </c>
      <c r="B117" s="52">
        <f>'Cash Flow Statement'!B30/B23</f>
        <v>9.386075949367088</v>
      </c>
      <c r="C117" s="52">
        <f>'Cash Flow Statement'!C30/C23</f>
        <v>18.04494382022472</v>
      </c>
      <c r="D117" s="52">
        <f>'Cash Flow Statement'!D30/D23</f>
        <v>12</v>
      </c>
      <c r="E117" s="52">
        <f>'Cash Flow Statement'!E30/E23</f>
        <v>5.5442307692307695</v>
      </c>
      <c r="F117" s="52">
        <f>'Cash Flow Statement'!F30/F23</f>
        <v>10.35568181818182</v>
      </c>
      <c r="G117" s="53"/>
    </row>
    <row r="118" spans="1:7" ht="14.25" customHeight="1" x14ac:dyDescent="0.3">
      <c r="A118" s="10" t="s">
        <v>104</v>
      </c>
      <c r="B118" s="52">
        <f>B22/B23</f>
        <v>16.38607594936709</v>
      </c>
      <c r="C118" s="52">
        <f>C22/C23</f>
        <v>24.831460674157302</v>
      </c>
      <c r="D118" s="52">
        <f>D22/D23</f>
        <v>23.407894736842106</v>
      </c>
      <c r="E118" s="52">
        <f>E22/E23</f>
        <v>11.75</v>
      </c>
      <c r="F118" s="52">
        <f>F22/F23</f>
        <v>14.134090909090901</v>
      </c>
      <c r="G118" s="53"/>
    </row>
    <row r="119" spans="1:7" ht="14.25" customHeight="1" x14ac:dyDescent="0.3">
      <c r="A119" s="10"/>
      <c r="B119" s="52"/>
      <c r="C119" s="52"/>
      <c r="D119" s="52"/>
      <c r="E119" s="52"/>
      <c r="F119" s="52"/>
      <c r="G119" s="53"/>
    </row>
    <row r="120" spans="1:7" ht="14.25" customHeight="1" x14ac:dyDescent="0.3">
      <c r="A120" s="50" t="s">
        <v>105</v>
      </c>
      <c r="B120" s="8">
        <v>46112</v>
      </c>
      <c r="C120" s="8">
        <v>45747</v>
      </c>
      <c r="D120" s="8">
        <v>45382</v>
      </c>
      <c r="E120" s="8">
        <v>45016</v>
      </c>
      <c r="F120" s="8">
        <v>44651</v>
      </c>
      <c r="G120" s="51"/>
    </row>
    <row r="121" spans="1:7" ht="14.25" customHeight="1" x14ac:dyDescent="0.3">
      <c r="A121" s="10" t="s">
        <v>106</v>
      </c>
      <c r="B121" s="56">
        <f>(B11+B14)/B98</f>
        <v>8.5942788074133762</v>
      </c>
      <c r="C121" s="56">
        <f>(C11+C14)/C98</f>
        <v>9.4551282051282044</v>
      </c>
      <c r="D121" s="56">
        <f>(D11+D14)/D98</f>
        <v>9.2946657349173076</v>
      </c>
      <c r="E121" s="56">
        <f>(E11+E14)/E98</f>
        <v>10.259199417427121</v>
      </c>
      <c r="F121" s="56">
        <f>(F11+F14)/F98</f>
        <v>12.610908740018816</v>
      </c>
      <c r="G121" s="57"/>
    </row>
    <row r="122" spans="1:7" ht="14.25" customHeight="1" x14ac:dyDescent="0.3">
      <c r="A122" s="10" t="s">
        <v>107</v>
      </c>
      <c r="B122" s="56">
        <f>B6/B97</f>
        <v>8.0758720930232553</v>
      </c>
      <c r="C122" s="56">
        <f>C6/C97</f>
        <v>8.8514295157825149</v>
      </c>
      <c r="D122" s="56">
        <f>D6/D97</f>
        <v>9.8678533950017489</v>
      </c>
      <c r="E122" s="56">
        <f>E6/E97</f>
        <v>11.773143503596662</v>
      </c>
      <c r="F122" s="56">
        <f>F6/F97</f>
        <v>13.792747971852449</v>
      </c>
      <c r="G122" s="57"/>
    </row>
    <row r="123" spans="1:7" ht="14.25" customHeight="1" x14ac:dyDescent="0.3">
      <c r="A123" s="10" t="s">
        <v>108</v>
      </c>
      <c r="B123" s="56">
        <f>(B11+B14)/B99</f>
        <v>9.4197394568337387</v>
      </c>
      <c r="C123" s="56">
        <f>(C11+C14)/C99</f>
        <v>10.379492334757476</v>
      </c>
      <c r="D123" s="56">
        <f>(D11+D14)/D99</f>
        <v>11.19176506885816</v>
      </c>
      <c r="E123" s="56">
        <f>(E11+E14)/E99</f>
        <v>13.802584042618333</v>
      </c>
      <c r="F123" s="56">
        <f>(F11+F14)/F99</f>
        <v>17.969201154956689</v>
      </c>
      <c r="G123" s="57"/>
    </row>
    <row r="124" spans="1:7" ht="28.5" customHeight="1" x14ac:dyDescent="0.3">
      <c r="A124" s="59" t="s">
        <v>109</v>
      </c>
      <c r="B124" s="60">
        <f t="shared" ref="B124:F126" si="38">365/B121</f>
        <v>42.470113918709856</v>
      </c>
      <c r="C124" s="60">
        <f t="shared" si="38"/>
        <v>38.603389830508476</v>
      </c>
      <c r="D124" s="60">
        <f t="shared" si="38"/>
        <v>39.269836098441182</v>
      </c>
      <c r="E124" s="60">
        <f t="shared" si="38"/>
        <v>35.57782485249102</v>
      </c>
      <c r="F124" s="60">
        <f t="shared" si="38"/>
        <v>28.943195730354272</v>
      </c>
      <c r="G124" s="61"/>
    </row>
    <row r="125" spans="1:7" ht="28.5" customHeight="1" x14ac:dyDescent="0.3">
      <c r="A125" s="59" t="s">
        <v>110</v>
      </c>
      <c r="B125" s="60">
        <f t="shared" si="38"/>
        <v>45.196357222562185</v>
      </c>
      <c r="C125" s="60">
        <f t="shared" si="38"/>
        <v>41.236277072442121</v>
      </c>
      <c r="D125" s="60">
        <f t="shared" si="38"/>
        <v>36.988794359762103</v>
      </c>
      <c r="E125" s="60">
        <f t="shared" si="38"/>
        <v>31.002764885053303</v>
      </c>
      <c r="F125" s="60">
        <f t="shared" si="38"/>
        <v>26.463182010203749</v>
      </c>
      <c r="G125" s="61"/>
    </row>
    <row r="126" spans="1:7" ht="31.5" customHeight="1" x14ac:dyDescent="0.3">
      <c r="A126" s="59" t="s">
        <v>111</v>
      </c>
      <c r="B126" s="60">
        <f t="shared" si="38"/>
        <v>38.748417795696405</v>
      </c>
      <c r="C126" s="60">
        <f t="shared" si="38"/>
        <v>35.165496368038745</v>
      </c>
      <c r="D126" s="60">
        <f t="shared" si="38"/>
        <v>32.613264999248159</v>
      </c>
      <c r="E126" s="60">
        <f t="shared" si="38"/>
        <v>26.444323676855507</v>
      </c>
      <c r="F126" s="60">
        <f t="shared" si="38"/>
        <v>20.312533476164969</v>
      </c>
      <c r="G126" s="61"/>
    </row>
    <row r="127" spans="1:7" ht="14.25" customHeight="1" x14ac:dyDescent="0.3">
      <c r="A127" s="10" t="s">
        <v>112</v>
      </c>
      <c r="B127" s="60">
        <f>B124+B125-B126</f>
        <v>48.918053345575636</v>
      </c>
      <c r="C127" s="60">
        <f>C124+C125-C126</f>
        <v>44.674170534911852</v>
      </c>
      <c r="D127" s="60">
        <f>D124+D125-D126</f>
        <v>43.645365458955126</v>
      </c>
      <c r="E127" s="60">
        <f>E124+E125-E126</f>
        <v>40.136266060688826</v>
      </c>
      <c r="F127" s="60">
        <f>F124+F125-F126</f>
        <v>35.093844264393056</v>
      </c>
      <c r="G127" s="61"/>
    </row>
    <row r="128" spans="1:7" ht="14.25" customHeight="1" x14ac:dyDescent="0.3">
      <c r="A128" s="10" t="s">
        <v>113</v>
      </c>
      <c r="B128" s="56">
        <f>B6/B102</f>
        <v>5.9520085698982328</v>
      </c>
      <c r="C128" s="56">
        <f>C6/C102</f>
        <v>6.9394418387706978</v>
      </c>
      <c r="D128" s="56">
        <f>D6/D102</f>
        <v>9.4283008708245912</v>
      </c>
      <c r="E128" s="56">
        <f>E6/E102</f>
        <v>15.737723628270604</v>
      </c>
      <c r="F128" s="56">
        <f>F6/F102</f>
        <v>25.70843776106932</v>
      </c>
      <c r="G128" s="57"/>
    </row>
    <row r="129" spans="1:8" ht="14.25" customHeight="1" x14ac:dyDescent="0.3">
      <c r="A129" s="10" t="s">
        <v>114</v>
      </c>
      <c r="B129" s="56">
        <f>B6/B79</f>
        <v>6.842610837438424</v>
      </c>
      <c r="C129" s="56">
        <f>C6/C79</f>
        <v>6.8649064342476285</v>
      </c>
      <c r="D129" s="56">
        <f>D6/D79</f>
        <v>6.8176691729323311</v>
      </c>
      <c r="E129" s="56">
        <f>E6/E79</f>
        <v>8.2317473583666647</v>
      </c>
      <c r="F129" s="56">
        <f>F6/F79</f>
        <v>8.7101613359750925</v>
      </c>
      <c r="G129" s="57"/>
      <c r="H129" s="57"/>
    </row>
    <row r="130" spans="1:8" ht="14.25" customHeight="1" x14ac:dyDescent="0.3">
      <c r="A130" s="10" t="s">
        <v>115</v>
      </c>
      <c r="B130" s="56">
        <f>B6/B100</f>
        <v>2.0902114212625085</v>
      </c>
      <c r="C130" s="56">
        <f>C6/C100</f>
        <v>2.2830349531116796</v>
      </c>
      <c r="D130" s="56">
        <f>D6/D100</f>
        <v>2.5878096014677401</v>
      </c>
      <c r="E130" s="56">
        <f>E6/E100</f>
        <v>3.1333829469342769</v>
      </c>
      <c r="F130" s="56">
        <f>F6/F100</f>
        <v>3.6495709770575013</v>
      </c>
      <c r="G130" s="57"/>
      <c r="H130" s="57"/>
    </row>
    <row r="131" spans="1:8" ht="14.25" customHeight="1" x14ac:dyDescent="0.3">
      <c r="B131" s="16"/>
      <c r="C131" s="16"/>
      <c r="D131" s="16"/>
      <c r="E131" s="16"/>
      <c r="F131" s="16"/>
      <c r="G131" s="16"/>
    </row>
    <row r="132" spans="1:8" ht="14.25" customHeight="1" x14ac:dyDescent="0.3">
      <c r="A132" s="62" t="s">
        <v>116</v>
      </c>
      <c r="B132" s="8">
        <v>46112</v>
      </c>
      <c r="C132" s="8">
        <v>45747</v>
      </c>
      <c r="D132" s="8">
        <v>45382</v>
      </c>
      <c r="E132" s="8">
        <v>45016</v>
      </c>
      <c r="F132" s="8">
        <v>44651</v>
      </c>
      <c r="G132" s="51"/>
    </row>
    <row r="133" spans="1:8" ht="14.25" customHeight="1" x14ac:dyDescent="0.3">
      <c r="A133" s="63" t="s">
        <v>117</v>
      </c>
      <c r="B133" s="64">
        <f>B30/B6</f>
        <v>6.5872358806378456E-2</v>
      </c>
      <c r="C133" s="64">
        <f>C30/C6</f>
        <v>5.8177744585511573E-2</v>
      </c>
      <c r="D133" s="64">
        <f>D30/D6</f>
        <v>5.1675922643664579E-2</v>
      </c>
      <c r="E133" s="64">
        <f>E30/E6</f>
        <v>3.8146348538690263E-2</v>
      </c>
      <c r="F133" s="64">
        <f>F30/F6</f>
        <v>2.7290156955772894E-2</v>
      </c>
      <c r="G133" s="65"/>
    </row>
    <row r="134" spans="1:8" ht="14.25" customHeight="1" x14ac:dyDescent="0.3">
      <c r="A134" s="63" t="s">
        <v>118</v>
      </c>
      <c r="B134" s="64">
        <f>(B6-B11-B14)/B6</f>
        <v>0.23217306792412079</v>
      </c>
      <c r="C134" s="64">
        <f>(C6-C11-C14)/C6</f>
        <v>0.22890216579536968</v>
      </c>
      <c r="D134" s="64">
        <f>(D6-D11-D14)/D6</f>
        <v>0.21418724644531095</v>
      </c>
      <c r="E134" s="64">
        <f>(E6-E11-E14)/E6</f>
        <v>0.18264558706215098</v>
      </c>
      <c r="F134" s="64">
        <f>(F6-F11-F14)/F6</f>
        <v>0.15061904916647711</v>
      </c>
      <c r="G134" s="65"/>
    </row>
    <row r="135" spans="1:8" ht="30" customHeight="1" x14ac:dyDescent="0.3">
      <c r="A135" s="66" t="s">
        <v>119</v>
      </c>
      <c r="B135" s="64">
        <f>(B30+B23*(1-B34))/B100</f>
        <v>0.14698398183463265</v>
      </c>
      <c r="C135" s="64">
        <f>(C30+C23*(1-C34))/C100</f>
        <v>0.13857140724670852</v>
      </c>
      <c r="D135" s="64">
        <f>(D30+D23*(1-D34))/D100</f>
        <v>0.13975549510904373</v>
      </c>
      <c r="E135" s="64">
        <f>(E30+E23*(1-E34))/E100</f>
        <v>0.1291708885744981</v>
      </c>
      <c r="F135" s="64">
        <f>(F30+F23*(1-F34))/F100</f>
        <v>0.10836368615049739</v>
      </c>
      <c r="G135" s="65"/>
    </row>
    <row r="136" spans="1:8" ht="14.25" customHeight="1" x14ac:dyDescent="0.3">
      <c r="A136" s="63" t="s">
        <v>120</v>
      </c>
      <c r="B136" s="64">
        <f>B30/B103</f>
        <v>0.22048192771084338</v>
      </c>
      <c r="C136" s="64">
        <f>C30/C103</f>
        <v>0.20994475138121546</v>
      </c>
      <c r="D136" s="64">
        <f>D30/D103</f>
        <v>0.2032926593066047</v>
      </c>
      <c r="E136" s="64">
        <f>E30/E103</f>
        <v>0.19414967241856601</v>
      </c>
      <c r="F136" s="64">
        <f>F30/F103</f>
        <v>0.18622287760690948</v>
      </c>
      <c r="G136" s="65"/>
    </row>
    <row r="137" spans="1:8" ht="14.25" customHeight="1" x14ac:dyDescent="0.3">
      <c r="A137" s="63" t="s">
        <v>121</v>
      </c>
      <c r="B137" s="64">
        <f>B33/B32</f>
        <v>0.69016393442622948</v>
      </c>
      <c r="C137" s="64">
        <f>C33/C32</f>
        <v>0.22464698331193839</v>
      </c>
      <c r="D137" s="64">
        <f>D33/D32</f>
        <v>0.22179878048780488</v>
      </c>
      <c r="E137" s="64">
        <f>E33/E32</f>
        <v>0</v>
      </c>
      <c r="F137" s="64">
        <f>F33/F32</f>
        <v>0</v>
      </c>
      <c r="G137" s="65"/>
    </row>
    <row r="138" spans="1:8" ht="14.25" customHeight="1" x14ac:dyDescent="0.3">
      <c r="A138" s="63" t="s">
        <v>122</v>
      </c>
      <c r="B138" s="64">
        <f>B32*10000000/199811941</f>
        <v>91.586117968795463</v>
      </c>
      <c r="C138" s="64">
        <f>C32*10000000/199811941</f>
        <v>77.973317920974509</v>
      </c>
      <c r="D138" s="64">
        <f>D32*10000000/199811941</f>
        <v>65.661741407136418</v>
      </c>
      <c r="E138" s="64">
        <f>E32*10000000/199811941</f>
        <v>52.649506067307556</v>
      </c>
      <c r="F138" s="67">
        <f>F32*10000000/199811941</f>
        <v>42.02952014764719</v>
      </c>
      <c r="G138" s="68"/>
    </row>
    <row r="139" spans="1:8" ht="14.25" customHeight="1" x14ac:dyDescent="0.3">
      <c r="A139" s="63" t="s">
        <v>123</v>
      </c>
      <c r="B139" s="64">
        <f>2964/B138</f>
        <v>32.362983230819673</v>
      </c>
      <c r="C139" s="64">
        <f>2964/C138</f>
        <v>38.013003409756095</v>
      </c>
      <c r="D139" s="64">
        <f>2964/D138</f>
        <v>45.140441549085367</v>
      </c>
      <c r="E139" s="64">
        <f>2964/E138</f>
        <v>56.296824441444869</v>
      </c>
      <c r="F139" s="67">
        <f>2964/F138</f>
        <v>70.521861529411837</v>
      </c>
      <c r="G139" s="68"/>
    </row>
    <row r="140" spans="1:8" ht="14.25" customHeight="1" x14ac:dyDescent="0.3">
      <c r="A140" s="69"/>
      <c r="B140" s="70"/>
      <c r="C140" s="70"/>
      <c r="D140" s="70"/>
      <c r="E140" s="70"/>
      <c r="F140" s="49"/>
      <c r="G140" s="49"/>
    </row>
    <row r="141" spans="1:8" ht="14.25" customHeight="1" x14ac:dyDescent="0.3">
      <c r="A141" s="71" t="s">
        <v>124</v>
      </c>
      <c r="B141" s="8">
        <v>46112</v>
      </c>
      <c r="C141" s="8">
        <v>45747</v>
      </c>
      <c r="D141" s="8">
        <v>45382</v>
      </c>
      <c r="E141" s="8">
        <v>45016</v>
      </c>
      <c r="F141" s="8">
        <v>44651</v>
      </c>
      <c r="G141" s="51"/>
    </row>
    <row r="142" spans="1:8" ht="14.25" customHeight="1" x14ac:dyDescent="0.3">
      <c r="A142" s="72" t="s">
        <v>125</v>
      </c>
      <c r="B142" s="64">
        <f>'Cash Flow Statement'!B30/B103</f>
        <v>0.17867469879518072</v>
      </c>
      <c r="C142" s="64">
        <f>'Cash Flow Statement'!C30/C103</f>
        <v>0.21641288236086781</v>
      </c>
      <c r="D142" s="64">
        <f>'Cash Flow Statement'!D30/D103</f>
        <v>0.14131319000581058</v>
      </c>
      <c r="E142" s="64">
        <f>'Cash Flow Statement'!E30/E103</f>
        <v>0.10641321398911138</v>
      </c>
      <c r="F142" s="64">
        <f>'Cash Flow Statement'!F30/F103</f>
        <v>0.20207776656725027</v>
      </c>
      <c r="G142" s="65"/>
    </row>
    <row r="143" spans="1:8" ht="14.25" customHeight="1" x14ac:dyDescent="0.3">
      <c r="A143" s="72" t="s">
        <v>126</v>
      </c>
      <c r="B143" s="64">
        <f>'Cash Flow Statement'!B30/B100</f>
        <v>0.11157926416371981</v>
      </c>
      <c r="C143" s="64">
        <f>'Cash Flow Statement'!C30/C100</f>
        <v>0.13691389599317988</v>
      </c>
      <c r="D143" s="64">
        <f>'Cash Flow Statement'!D30/D100</f>
        <v>9.2956885128936906E-2</v>
      </c>
      <c r="E143" s="64">
        <f>'Cash Flow Statement'!E30/E100</f>
        <v>6.5512677032500702E-2</v>
      </c>
      <c r="F143" s="64">
        <f>'Cash Flow Statement'!F30/F100</f>
        <v>0.10807701658572454</v>
      </c>
      <c r="G143" s="65"/>
    </row>
    <row r="144" spans="1:8" ht="14.25" customHeight="1" x14ac:dyDescent="0.3">
      <c r="A144" s="72" t="s">
        <v>127</v>
      </c>
      <c r="B144" s="64">
        <f>'Cash Flow Statement'!B30/B6</f>
        <v>5.3381807710305602E-2</v>
      </c>
      <c r="C144" s="64">
        <f>'Cash Flow Statement'!C30/C6</f>
        <v>5.9970126960418223E-2</v>
      </c>
      <c r="D144" s="64">
        <f>'Cash Flow Statement'!D30/D6</f>
        <v>3.5921068179132695E-2</v>
      </c>
      <c r="E144" s="64">
        <f>'Cash Flow Statement'!E30/E6</f>
        <v>2.0907970121111032E-2</v>
      </c>
      <c r="F144" s="64">
        <f>'Cash Flow Statement'!F30/F6</f>
        <v>2.9613622331264421E-2</v>
      </c>
      <c r="G144" s="65"/>
    </row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mergeCells count="2">
    <mergeCell ref="A39:F39"/>
    <mergeCell ref="A63:F63"/>
  </mergeCells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zoomScaleNormal="100" workbookViewId="0">
      <selection activeCell="G18" sqref="G18"/>
    </sheetView>
  </sheetViews>
  <sheetFormatPr defaultColWidth="8.6640625" defaultRowHeight="14.4" x14ac:dyDescent="0.3"/>
  <cols>
    <col min="1" max="1" width="14.33203125" customWidth="1"/>
    <col min="2" max="2" width="15" customWidth="1"/>
    <col min="3" max="3" width="16.77734375" customWidth="1"/>
    <col min="4" max="4" width="15.88671875" customWidth="1"/>
    <col min="5" max="5" width="16.6640625" customWidth="1"/>
  </cols>
  <sheetData>
    <row r="1" spans="1:5" x14ac:dyDescent="0.3">
      <c r="A1" s="8">
        <v>44651</v>
      </c>
      <c r="B1" s="8">
        <v>45016</v>
      </c>
      <c r="C1" s="8">
        <v>45382</v>
      </c>
      <c r="D1" s="8">
        <v>45747</v>
      </c>
      <c r="E1" s="8">
        <v>46112</v>
      </c>
    </row>
    <row r="2" spans="1:5" x14ac:dyDescent="0.3">
      <c r="A2" s="11">
        <v>30773</v>
      </c>
      <c r="B2" s="11">
        <v>27578</v>
      </c>
      <c r="C2" s="11">
        <v>25389</v>
      </c>
      <c r="D2" s="11">
        <v>26780</v>
      </c>
      <c r="E2" s="11">
        <v>27781</v>
      </c>
    </row>
    <row r="3" spans="1:5" x14ac:dyDescent="0.3">
      <c r="A3" s="14">
        <v>34</v>
      </c>
      <c r="B3" s="14">
        <v>74</v>
      </c>
      <c r="C3" s="14">
        <v>335</v>
      </c>
      <c r="D3" s="14">
        <v>426</v>
      </c>
      <c r="E3" s="14">
        <v>576</v>
      </c>
    </row>
    <row r="4" spans="1:5" x14ac:dyDescent="0.3">
      <c r="A4" s="18">
        <f>SUM(A2:A3)</f>
        <v>30807</v>
      </c>
      <c r="B4" s="18">
        <f>SUM(B2:B3)</f>
        <v>27652</v>
      </c>
      <c r="C4" s="18">
        <f>SUM(C2:C3)</f>
        <v>25724</v>
      </c>
      <c r="D4" s="18">
        <f>SUM(D2:D3)</f>
        <v>27206</v>
      </c>
      <c r="E4" s="18">
        <f>SUM(E2:E3)</f>
        <v>28357</v>
      </c>
    </row>
    <row r="5" spans="1:5" x14ac:dyDescent="0.3">
      <c r="A5" s="21"/>
      <c r="B5" s="21"/>
      <c r="C5" s="21"/>
      <c r="D5" s="21"/>
      <c r="E5" s="21"/>
    </row>
    <row r="6" spans="1:5" x14ac:dyDescent="0.3">
      <c r="A6" s="21"/>
      <c r="B6" s="21"/>
      <c r="C6" s="21"/>
      <c r="D6" s="21"/>
      <c r="E6" s="21"/>
    </row>
    <row r="7" spans="1:5" x14ac:dyDescent="0.3">
      <c r="A7" s="11">
        <v>4789</v>
      </c>
      <c r="B7" s="11">
        <v>5337</v>
      </c>
      <c r="C7" s="11">
        <v>5254</v>
      </c>
      <c r="D7" s="11">
        <v>5443</v>
      </c>
      <c r="E7" s="11">
        <v>5998</v>
      </c>
    </row>
    <row r="8" spans="1:5" x14ac:dyDescent="0.3">
      <c r="A8" s="11">
        <v>577</v>
      </c>
      <c r="B8" s="14">
        <v>864</v>
      </c>
      <c r="C8" s="14">
        <v>675</v>
      </c>
      <c r="D8" s="14">
        <v>864</v>
      </c>
      <c r="E8" s="14">
        <v>808</v>
      </c>
    </row>
    <row r="9" spans="1:5" x14ac:dyDescent="0.3">
      <c r="A9" s="14">
        <v>-82.8</v>
      </c>
      <c r="B9" s="14">
        <v>-129</v>
      </c>
      <c r="C9" s="14">
        <v>119</v>
      </c>
      <c r="D9" s="14">
        <v>90</v>
      </c>
      <c r="E9" s="14">
        <v>-140</v>
      </c>
    </row>
    <row r="10" spans="1:5" x14ac:dyDescent="0.3">
      <c r="A10" s="11">
        <v>21349</v>
      </c>
      <c r="B10" s="11">
        <v>17204</v>
      </c>
      <c r="C10" s="11">
        <v>14697</v>
      </c>
      <c r="D10" s="11">
        <v>15207</v>
      </c>
      <c r="E10" s="11">
        <v>15333</v>
      </c>
    </row>
    <row r="11" spans="1:5" x14ac:dyDescent="0.3">
      <c r="A11" s="11">
        <v>650</v>
      </c>
      <c r="B11" s="14">
        <v>607</v>
      </c>
      <c r="C11" s="14">
        <v>543</v>
      </c>
      <c r="D11" s="14">
        <v>605</v>
      </c>
      <c r="E11" s="14">
        <v>623</v>
      </c>
    </row>
    <row r="12" spans="1:5" x14ac:dyDescent="0.3">
      <c r="A12" s="11">
        <v>689</v>
      </c>
      <c r="B12" s="14">
        <v>920</v>
      </c>
      <c r="C12" s="11">
        <v>1041</v>
      </c>
      <c r="D12" s="11">
        <v>1128</v>
      </c>
      <c r="E12" s="11">
        <v>1295</v>
      </c>
    </row>
    <row r="13" spans="1:5" x14ac:dyDescent="0.3">
      <c r="A13" s="11">
        <v>1303</v>
      </c>
      <c r="B13" s="11">
        <v>1356</v>
      </c>
      <c r="C13" s="11">
        <v>1352</v>
      </c>
      <c r="D13" s="11">
        <v>1385</v>
      </c>
      <c r="E13" s="11">
        <v>1568</v>
      </c>
    </row>
    <row r="14" spans="1:5" x14ac:dyDescent="0.3">
      <c r="A14" s="18">
        <f>SUM(A7:A13)</f>
        <v>29274.2</v>
      </c>
      <c r="B14" s="18">
        <f>SUM(B7:B13)</f>
        <v>26159</v>
      </c>
      <c r="C14" s="18">
        <f>SUM(C7:C13)</f>
        <v>23681</v>
      </c>
      <c r="D14" s="18">
        <f>SUM(D7:D13)</f>
        <v>24722</v>
      </c>
      <c r="E14" s="18">
        <f>SUM(E7:E13)</f>
        <v>25485</v>
      </c>
    </row>
    <row r="15" spans="1:5" x14ac:dyDescent="0.3">
      <c r="A15" s="21"/>
      <c r="B15" s="21"/>
      <c r="C15" s="21"/>
      <c r="D15" s="21"/>
      <c r="E15" s="21"/>
    </row>
    <row r="16" spans="1:5" x14ac:dyDescent="0.3">
      <c r="A16" s="18">
        <f>A4-A14</f>
        <v>1532.7999999999993</v>
      </c>
      <c r="B16" s="18">
        <f>B4-B14</f>
        <v>1493</v>
      </c>
      <c r="C16" s="18">
        <f>C4-C14</f>
        <v>2043</v>
      </c>
      <c r="D16" s="18">
        <f>D4-D14</f>
        <v>2484</v>
      </c>
      <c r="E16" s="18">
        <f>E4-E14</f>
        <v>2872</v>
      </c>
    </row>
    <row r="17" spans="1:5" x14ac:dyDescent="0.3">
      <c r="A17" s="11">
        <v>289</v>
      </c>
      <c r="B17" s="14">
        <v>271</v>
      </c>
      <c r="C17" s="14">
        <v>264</v>
      </c>
      <c r="D17" s="14">
        <v>274</v>
      </c>
      <c r="E17" s="14">
        <v>283</v>
      </c>
    </row>
    <row r="18" spans="1:5" x14ac:dyDescent="0.3">
      <c r="A18" s="18">
        <f>A16-A17</f>
        <v>1243.7999999999993</v>
      </c>
      <c r="B18" s="18">
        <f>B16-B17</f>
        <v>1222</v>
      </c>
      <c r="C18" s="18">
        <f>C16-C17</f>
        <v>1779</v>
      </c>
      <c r="D18" s="18">
        <f>D16-D17</f>
        <v>2210</v>
      </c>
      <c r="E18" s="18">
        <f>E16-E17</f>
        <v>2589</v>
      </c>
    </row>
    <row r="19" spans="1:5" x14ac:dyDescent="0.3">
      <c r="A19" s="14">
        <v>88</v>
      </c>
      <c r="B19" s="14">
        <v>104</v>
      </c>
      <c r="C19" s="14">
        <v>76</v>
      </c>
      <c r="D19" s="14">
        <v>89</v>
      </c>
      <c r="E19" s="14">
        <v>158</v>
      </c>
    </row>
    <row r="20" spans="1:5" x14ac:dyDescent="0.3">
      <c r="A20" s="21">
        <f>A18-A19</f>
        <v>1155.7999999999993</v>
      </c>
      <c r="B20" s="21">
        <f>B18-B19</f>
        <v>1118</v>
      </c>
      <c r="C20" s="21">
        <f>C18-C19</f>
        <v>1703</v>
      </c>
      <c r="D20" s="21">
        <f>D18-D19</f>
        <v>2121</v>
      </c>
      <c r="E20" s="21">
        <f>E18-E19</f>
        <v>2431</v>
      </c>
    </row>
    <row r="21" spans="1:5" x14ac:dyDescent="0.3">
      <c r="A21" s="21">
        <v>0</v>
      </c>
      <c r="B21" s="21">
        <v>0</v>
      </c>
      <c r="C21" s="21">
        <v>0</v>
      </c>
      <c r="D21" s="21">
        <v>0</v>
      </c>
      <c r="E21" s="21">
        <v>0</v>
      </c>
    </row>
    <row r="22" spans="1:5" x14ac:dyDescent="0.3">
      <c r="A22" s="11">
        <f>SUM(A20:A21)</f>
        <v>1155.7999999999993</v>
      </c>
      <c r="B22" s="11">
        <f>SUM(B20:B21)</f>
        <v>1118</v>
      </c>
      <c r="C22" s="11">
        <f>SUM(C20:C21)</f>
        <v>1703</v>
      </c>
      <c r="D22" s="11">
        <f>SUM(D20:D21)</f>
        <v>2121</v>
      </c>
      <c r="E22" s="11">
        <f>SUM(E20:E21)</f>
        <v>2431</v>
      </c>
    </row>
    <row r="23" spans="1:5" x14ac:dyDescent="0.3">
      <c r="A23" s="11">
        <v>-156</v>
      </c>
      <c r="B23" s="14">
        <v>171</v>
      </c>
      <c r="C23" s="14">
        <v>-17</v>
      </c>
      <c r="D23" s="14">
        <v>-65</v>
      </c>
      <c r="E23" s="14">
        <v>-91</v>
      </c>
    </row>
    <row r="24" spans="1:5" x14ac:dyDescent="0.3">
      <c r="A24" s="18">
        <f>A22+A23</f>
        <v>999.79999999999927</v>
      </c>
      <c r="B24" s="18">
        <f>B22+B23</f>
        <v>1289</v>
      </c>
      <c r="C24" s="18">
        <f>C22+C23</f>
        <v>1686</v>
      </c>
      <c r="D24" s="18">
        <f>D22+D23</f>
        <v>2056</v>
      </c>
      <c r="E24" s="18">
        <f>E22+E23</f>
        <v>2340</v>
      </c>
    </row>
    <row r="25" spans="1:5" x14ac:dyDescent="0.3">
      <c r="A25" s="73">
        <v>160</v>
      </c>
      <c r="B25" s="26">
        <v>237</v>
      </c>
      <c r="C25" s="26">
        <v>374</v>
      </c>
      <c r="D25" s="26">
        <v>498</v>
      </c>
      <c r="E25" s="26">
        <v>510</v>
      </c>
    </row>
    <row r="26" spans="1:5" x14ac:dyDescent="0.3">
      <c r="A26" s="18">
        <f>A24-A25</f>
        <v>839.79999999999927</v>
      </c>
      <c r="B26" s="18">
        <f>B24-B25</f>
        <v>1052</v>
      </c>
      <c r="C26" s="18">
        <f>C24-C25</f>
        <v>1312</v>
      </c>
      <c r="D26" s="18">
        <f>D24-D25</f>
        <v>1558</v>
      </c>
      <c r="E26" s="18">
        <f>E24-E25</f>
        <v>1830</v>
      </c>
    </row>
    <row r="27" spans="1:5" x14ac:dyDescent="0.3">
      <c r="A27" s="21">
        <v>0</v>
      </c>
      <c r="B27" s="21">
        <v>0</v>
      </c>
      <c r="C27" s="21">
        <v>0</v>
      </c>
      <c r="D27" s="21">
        <v>0</v>
      </c>
      <c r="E27" s="21">
        <v>0</v>
      </c>
    </row>
    <row r="28" spans="1:5" x14ac:dyDescent="0.3">
      <c r="A28" s="18">
        <f>A26-A27</f>
        <v>839.79999999999927</v>
      </c>
      <c r="B28" s="18">
        <f>B26-B27</f>
        <v>1052</v>
      </c>
      <c r="C28" s="18">
        <f>C26-C27</f>
        <v>1312</v>
      </c>
      <c r="D28" s="18">
        <f>D26-D27</f>
        <v>1558</v>
      </c>
      <c r="E28" s="18">
        <f>E26-E27</f>
        <v>1830</v>
      </c>
    </row>
    <row r="29" spans="1:5" x14ac:dyDescent="0.3">
      <c r="A29" s="21">
        <v>0</v>
      </c>
      <c r="B29" s="21">
        <v>0</v>
      </c>
      <c r="C29" s="21">
        <v>291</v>
      </c>
      <c r="D29" s="21">
        <v>350</v>
      </c>
      <c r="E29" s="21">
        <v>1263</v>
      </c>
    </row>
    <row r="30" spans="1:5" x14ac:dyDescent="0.3">
      <c r="A30" s="29">
        <f>A25/A24</f>
        <v>0.16003200640128037</v>
      </c>
      <c r="B30" s="29">
        <f>B25/B24</f>
        <v>0.18386346004654772</v>
      </c>
      <c r="C30" s="29">
        <f>C25/C24</f>
        <v>0.22182680901542112</v>
      </c>
      <c r="D30" s="29">
        <f>D25/D24</f>
        <v>0.24221789883268482</v>
      </c>
      <c r="E30" s="29">
        <f>E25/E24</f>
        <v>0.21794871794871795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90"/>
  <sheetViews>
    <sheetView showGridLines="0" zoomScaleNormal="100" workbookViewId="0">
      <selection activeCell="J20" sqref="J20"/>
    </sheetView>
  </sheetViews>
  <sheetFormatPr defaultColWidth="8.6640625" defaultRowHeight="14.4" x14ac:dyDescent="0.3"/>
  <cols>
    <col min="1" max="1" width="47.5546875" customWidth="1"/>
    <col min="2" max="6" width="14.109375" customWidth="1"/>
    <col min="7" max="7" width="14.109375" bestFit="1" customWidth="1"/>
  </cols>
  <sheetData>
    <row r="2" spans="1:8" x14ac:dyDescent="0.3">
      <c r="A2" s="74" t="s">
        <v>128</v>
      </c>
      <c r="B2" s="75"/>
      <c r="C2" s="1"/>
      <c r="D2" s="1"/>
      <c r="E2" s="1"/>
      <c r="F2" s="1"/>
    </row>
    <row r="3" spans="1:8" x14ac:dyDescent="0.3">
      <c r="A3" s="1"/>
      <c r="B3" s="1"/>
      <c r="C3" s="1"/>
      <c r="D3" s="1"/>
      <c r="E3" s="1"/>
      <c r="F3" s="1"/>
    </row>
    <row r="4" spans="1:8" x14ac:dyDescent="0.3">
      <c r="A4" s="6" t="s">
        <v>2</v>
      </c>
      <c r="B4" s="1"/>
      <c r="C4" s="1"/>
      <c r="D4" s="1"/>
      <c r="E4" s="1"/>
      <c r="F4" s="1"/>
    </row>
    <row r="5" spans="1:8" x14ac:dyDescent="0.3">
      <c r="A5" s="7" t="s">
        <v>4</v>
      </c>
      <c r="B5" s="8">
        <v>46112</v>
      </c>
      <c r="C5" s="8">
        <v>45747</v>
      </c>
      <c r="D5" s="8">
        <v>45382</v>
      </c>
      <c r="E5" s="8">
        <v>45016</v>
      </c>
      <c r="F5" s="8">
        <v>44651</v>
      </c>
      <c r="G5" s="103">
        <v>44286</v>
      </c>
    </row>
    <row r="6" spans="1:8" x14ac:dyDescent="0.3">
      <c r="A6" s="10" t="s">
        <v>5</v>
      </c>
      <c r="B6" s="107">
        <f>'FS &amp; Trend Analysis'!B6/'FS &amp; Trend Analysis'!B$6</f>
        <v>1</v>
      </c>
      <c r="C6" s="107">
        <f>'FS &amp; Trend Analysis'!C6/'FS &amp; Trend Analysis'!C$6</f>
        <v>1</v>
      </c>
      <c r="D6" s="107">
        <f>'FS &amp; Trend Analysis'!D6/'FS &amp; Trend Analysis'!D$6</f>
        <v>1</v>
      </c>
      <c r="E6" s="107">
        <f>'FS &amp; Trend Analysis'!E6/'FS &amp; Trend Analysis'!E$6</f>
        <v>1</v>
      </c>
      <c r="F6" s="107">
        <f>'FS &amp; Trend Analysis'!F6/'FS &amp; Trend Analysis'!F$6</f>
        <v>1</v>
      </c>
      <c r="G6" s="107">
        <f>'FS &amp; Trend Analysis'!G6/'FS &amp; Trend Analysis'!G$6</f>
        <v>1</v>
      </c>
    </row>
    <row r="7" spans="1:8" x14ac:dyDescent="0.3">
      <c r="A7" s="10" t="s">
        <v>6</v>
      </c>
      <c r="B7" s="107">
        <f>'FS &amp; Trend Analysis'!B7/'FS &amp; Trend Analysis'!B$6</f>
        <v>2.0733594902991252E-2</v>
      </c>
      <c r="C7" s="107">
        <f>'FS &amp; Trend Analysis'!C7/'FS &amp; Trend Analysis'!C$6</f>
        <v>1.5907393577296491E-2</v>
      </c>
      <c r="D7" s="107">
        <f>'FS &amp; Trend Analysis'!D7/'FS &amp; Trend Analysis'!D$6</f>
        <v>1.3194690614045454E-2</v>
      </c>
      <c r="E7" s="107">
        <f>'FS &amp; Trend Analysis'!E7/'FS &amp; Trend Analysis'!E$6</f>
        <v>2.6832982812386684E-3</v>
      </c>
      <c r="F7" s="107">
        <f>'FS &amp; Trend Analysis'!F7/'FS &amp; Trend Analysis'!F$6</f>
        <v>1.1048646540798752E-3</v>
      </c>
      <c r="G7" s="107">
        <f>'FS &amp; Trend Analysis'!G7/'FS &amp; Trend Analysis'!G$6</f>
        <v>1.758879027391413E-3</v>
      </c>
    </row>
    <row r="8" spans="1:8" x14ac:dyDescent="0.3">
      <c r="A8" s="17" t="s">
        <v>7</v>
      </c>
      <c r="B8" s="107">
        <f>'FS &amp; Trend Analysis'!B8/'FS &amp; Trend Analysis'!B$6</f>
        <v>1.0207335949029912</v>
      </c>
      <c r="C8" s="107">
        <f>'FS &amp; Trend Analysis'!C8/'FS &amp; Trend Analysis'!C$6</f>
        <v>1.0159073935772964</v>
      </c>
      <c r="D8" s="107">
        <f>'FS &amp; Trend Analysis'!D8/'FS &amp; Trend Analysis'!D$6</f>
        <v>1.0131946906140454</v>
      </c>
      <c r="E8" s="107">
        <f>'FS &amp; Trend Analysis'!E8/'FS &amp; Trend Analysis'!E$6</f>
        <v>1.0026832982812386</v>
      </c>
      <c r="F8" s="107">
        <f>'FS &amp; Trend Analysis'!F8/'FS &amp; Trend Analysis'!F$6</f>
        <v>1.0011048646540799</v>
      </c>
      <c r="G8" s="107">
        <f>'FS &amp; Trend Analysis'!G8/'FS &amp; Trend Analysis'!G$6</f>
        <v>1.0017588790273915</v>
      </c>
    </row>
    <row r="9" spans="1:8" x14ac:dyDescent="0.3">
      <c r="A9" s="10"/>
      <c r="B9" s="107"/>
      <c r="C9" s="107"/>
      <c r="D9" s="107"/>
      <c r="E9" s="107"/>
      <c r="F9" s="107"/>
      <c r="G9" s="107"/>
    </row>
    <row r="10" spans="1:8" x14ac:dyDescent="0.3">
      <c r="A10" s="17" t="s">
        <v>8</v>
      </c>
      <c r="B10" s="107"/>
      <c r="C10" s="107"/>
      <c r="D10" s="107"/>
      <c r="E10" s="107"/>
      <c r="F10" s="107"/>
      <c r="G10" s="107"/>
    </row>
    <row r="11" spans="1:8" x14ac:dyDescent="0.3">
      <c r="A11" s="10" t="s">
        <v>10</v>
      </c>
      <c r="B11" s="107">
        <f>'FS &amp; Trend Analysis'!B11/'FS &amp; Trend Analysis'!B$6</f>
        <v>0.21590295525719017</v>
      </c>
      <c r="C11" s="107">
        <f>'FS &amp; Trend Analysis'!C11/'FS &amp; Trend Analysis'!C$6</f>
        <v>0.20324869305451829</v>
      </c>
      <c r="D11" s="107">
        <f>'FS &amp; Trend Analysis'!D11/'FS &amp; Trend Analysis'!D$6</f>
        <v>0.20694001339162629</v>
      </c>
      <c r="E11" s="107">
        <f>'FS &amp; Trend Analysis'!E11/'FS &amp; Trend Analysis'!E$6</f>
        <v>0.19352382333744289</v>
      </c>
      <c r="F11" s="107">
        <f>'FS &amp; Trend Analysis'!F11/'FS &amp; Trend Analysis'!F$6</f>
        <v>0.1556234361290742</v>
      </c>
      <c r="G11" s="107">
        <f>'FS &amp; Trend Analysis'!G11/'FS &amp; Trend Analysis'!G$6</f>
        <v>0.14676704787977804</v>
      </c>
      <c r="H11" s="76"/>
    </row>
    <row r="12" spans="1:8" x14ac:dyDescent="0.3">
      <c r="A12" s="10" t="s">
        <v>12</v>
      </c>
      <c r="B12" s="107">
        <f>'FS &amp; Trend Analysis'!B12/'FS &amp; Trend Analysis'!B$6</f>
        <v>2.908462618336273E-2</v>
      </c>
      <c r="C12" s="107">
        <f>'FS &amp; Trend Analysis'!C12/'FS &amp; Trend Analysis'!C$6</f>
        <v>3.2262882748319642E-2</v>
      </c>
      <c r="D12" s="107">
        <f>'FS &amp; Trend Analysis'!D12/'FS &amp; Trend Analysis'!D$6</f>
        <v>2.6586316908897553E-2</v>
      </c>
      <c r="E12" s="107">
        <f>'FS &amp; Trend Analysis'!E12/'FS &amp; Trend Analysis'!E$6</f>
        <v>3.132932047284067E-2</v>
      </c>
      <c r="F12" s="107">
        <f>'FS &amp; Trend Analysis'!F12/'FS &amp; Trend Analysis'!F$6</f>
        <v>1.8750203100120235E-2</v>
      </c>
      <c r="G12" s="107">
        <f>'FS &amp; Trend Analysis'!G12/'FS &amp; Trend Analysis'!G$6</f>
        <v>1.2856743350848529E-2</v>
      </c>
    </row>
    <row r="13" spans="1:8" x14ac:dyDescent="0.3">
      <c r="A13" s="10" t="s">
        <v>14</v>
      </c>
      <c r="B13" s="107">
        <f>'FS &amp; Trend Analysis'!B13/'FS &amp; Trend Analysis'!B$6</f>
        <v>-5.0394154278103741E-3</v>
      </c>
      <c r="C13" s="107">
        <f>'FS &amp; Trend Analysis'!C13/'FS &amp; Trend Analysis'!C$6</f>
        <v>3.3607169529499626E-3</v>
      </c>
      <c r="D13" s="107">
        <f>'FS &amp; Trend Analysis'!D13/'FS &amp; Trend Analysis'!D$6</f>
        <v>4.6870692031982355E-3</v>
      </c>
      <c r="E13" s="107">
        <f>'FS &amp; Trend Analysis'!E13/'FS &amp; Trend Analysis'!E$6</f>
        <v>-4.6776415983755164E-3</v>
      </c>
      <c r="F13" s="107">
        <f>'FS &amp; Trend Analysis'!F13/'FS &amp; Trend Analysis'!F$6</f>
        <v>-2.6906703928768726E-3</v>
      </c>
      <c r="G13" s="107">
        <f>'FS &amp; Trend Analysis'!G13/'FS &amp; Trend Analysis'!G$6</f>
        <v>4.7909215348611285E-3</v>
      </c>
    </row>
    <row r="14" spans="1:8" x14ac:dyDescent="0.3">
      <c r="A14" s="10" t="s">
        <v>16</v>
      </c>
      <c r="B14" s="107">
        <f>'FS &amp; Trend Analysis'!B14/'FS &amp; Trend Analysis'!B$6</f>
        <v>0.55192397681868899</v>
      </c>
      <c r="C14" s="107">
        <f>'FS &amp; Trend Analysis'!C14/'FS &amp; Trend Analysis'!C$6</f>
        <v>0.56784914115011198</v>
      </c>
      <c r="D14" s="107">
        <f>'FS &amp; Trend Analysis'!D14/'FS &amp; Trend Analysis'!D$6</f>
        <v>0.57887274016306278</v>
      </c>
      <c r="E14" s="107">
        <f>'FS &amp; Trend Analysis'!E14/'FS &amp; Trend Analysis'!E$6</f>
        <v>0.62383058960040616</v>
      </c>
      <c r="F14" s="107">
        <f>'FS &amp; Trend Analysis'!F14/'FS &amp; Trend Analysis'!F$6</f>
        <v>0.69375751470444869</v>
      </c>
      <c r="G14" s="107">
        <f>'FS &amp; Trend Analysis'!G14/'FS &amp; Trend Analysis'!G$6</f>
        <v>0.70970400788919796</v>
      </c>
    </row>
    <row r="15" spans="1:8" x14ac:dyDescent="0.3">
      <c r="A15" s="17" t="s">
        <v>18</v>
      </c>
      <c r="B15" s="107">
        <f>'FS &amp; Trend Analysis'!B15/'FS &amp; Trend Analysis'!B$6</f>
        <v>2.2425398653756163E-2</v>
      </c>
      <c r="C15" s="107">
        <f>'FS &amp; Trend Analysis'!C15/'FS &amp; Trend Analysis'!C$6</f>
        <v>2.2591486183719194E-2</v>
      </c>
      <c r="D15" s="107">
        <f>'FS &amp; Trend Analysis'!D15/'FS &amp; Trend Analysis'!D$6</f>
        <v>2.1387214935602031E-2</v>
      </c>
      <c r="E15" s="107">
        <f>'FS &amp; Trend Analysis'!E15/'FS &amp; Trend Analysis'!E$6</f>
        <v>2.2010298063673942E-2</v>
      </c>
      <c r="F15" s="107">
        <f>'FS &amp; Trend Analysis'!F15/'FS &amp; Trend Analysis'!F$6</f>
        <v>2.1122412504468203E-2</v>
      </c>
      <c r="G15" s="107">
        <f>'FS &amp; Trend Analysis'!G15/'FS &amp; Trend Analysis'!G$6</f>
        <v>1.9884900133939738E-2</v>
      </c>
    </row>
    <row r="16" spans="1:8" x14ac:dyDescent="0.3">
      <c r="A16" s="10"/>
      <c r="B16" s="107">
        <f>'FS &amp; Trend Analysis'!B16/'FS &amp; Trend Analysis'!B$6</f>
        <v>4.661459270724596E-2</v>
      </c>
      <c r="C16" s="107">
        <f>'FS &amp; Trend Analysis'!C16/'FS &amp; Trend Analysis'!C$6</f>
        <v>4.2120985810306197E-2</v>
      </c>
      <c r="D16" s="107">
        <f>'FS &amp; Trend Analysis'!D16/'FS &amp; Trend Analysis'!D$6</f>
        <v>4.1002008743944225E-2</v>
      </c>
      <c r="E16" s="107">
        <f>'FS &amp; Trend Analysis'!E16/'FS &amp; Trend Analysis'!E$6</f>
        <v>3.3359924577561824E-2</v>
      </c>
      <c r="F16" s="107">
        <f>'FS &amp; Trend Analysis'!F16/'FS &amp; Trend Analysis'!F$6</f>
        <v>2.2389757254736294E-2</v>
      </c>
      <c r="G16" s="107">
        <f>'FS &amp; Trend Analysis'!G16/'FS &amp; Trend Analysis'!G$6</f>
        <v>2.1032955063952547E-2</v>
      </c>
    </row>
    <row r="17" spans="1:7" x14ac:dyDescent="0.3">
      <c r="A17" s="17" t="s">
        <v>22</v>
      </c>
      <c r="B17" s="107">
        <f>'FS &amp; Trend Analysis'!B17/'FS &amp; Trend Analysis'!B$6</f>
        <v>5.6441452791476186E-2</v>
      </c>
      <c r="C17" s="107">
        <f>'FS &amp; Trend Analysis'!C17/'FS &amp; Trend Analysis'!C$6</f>
        <v>5.1717699775952204E-2</v>
      </c>
      <c r="D17" s="107">
        <f>'FS &amp; Trend Analysis'!D17/'FS &amp; Trend Analysis'!D$6</f>
        <v>5.3251408090117767E-2</v>
      </c>
      <c r="E17" s="107">
        <f>'FS &amp; Trend Analysis'!E17/'FS &amp; Trend Analysis'!E$6</f>
        <v>4.9169627964319382E-2</v>
      </c>
      <c r="F17" s="107">
        <f>'FS &amp; Trend Analysis'!F17/'FS &amp; Trend Analysis'!F$6</f>
        <v>4.2342313066649338E-2</v>
      </c>
      <c r="G17" s="107">
        <f>'FS &amp; Trend Analysis'!G17/'FS &amp; Trend Analysis'!G$6</f>
        <v>4.6838433346580124E-2</v>
      </c>
    </row>
    <row r="18" spans="1:7" x14ac:dyDescent="0.3">
      <c r="A18" s="10" t="s">
        <v>24</v>
      </c>
      <c r="B18" s="107">
        <f>'FS &amp; Trend Analysis'!B18/'FS &amp; Trend Analysis'!B$6</f>
        <v>0.9173535869839099</v>
      </c>
      <c r="C18" s="107">
        <f>'FS &amp; Trend Analysis'!C18/'FS &amp; Trend Analysis'!C$6</f>
        <v>0.92315160567587751</v>
      </c>
      <c r="D18" s="107">
        <f>'FS &amp; Trend Analysis'!D18/'FS &amp; Trend Analysis'!D$6</f>
        <v>0.93272677143644889</v>
      </c>
      <c r="E18" s="107">
        <f>'FS &amp; Trend Analysis'!E18/'FS &amp; Trend Analysis'!E$6</f>
        <v>0.94854594241786927</v>
      </c>
      <c r="F18" s="107">
        <f>'FS &amp; Trend Analysis'!F18/'FS &amp; Trend Analysis'!F$6</f>
        <v>0.95129496636662014</v>
      </c>
      <c r="G18" s="107">
        <f>'FS &amp; Trend Analysis'!G18/'FS &amp; Trend Analysis'!G$6</f>
        <v>0.96187500919915814</v>
      </c>
    </row>
    <row r="19" spans="1:7" x14ac:dyDescent="0.3">
      <c r="A19" s="17" t="s">
        <v>25</v>
      </c>
      <c r="B19" s="107">
        <f>'FS &amp; Trend Analysis'!B19/'FS &amp; Trend Analysis'!B$6</f>
        <v>0</v>
      </c>
      <c r="C19" s="107">
        <f>'FS &amp; Trend Analysis'!C19/'FS &amp; Trend Analysis'!C$6</f>
        <v>0</v>
      </c>
      <c r="D19" s="107">
        <f>'FS &amp; Trend Analysis'!D19/'FS &amp; Trend Analysis'!D$6</f>
        <v>0</v>
      </c>
      <c r="E19" s="107">
        <f>'FS &amp; Trend Analysis'!E19/'FS &amp; Trend Analysis'!E$6</f>
        <v>0</v>
      </c>
      <c r="F19" s="107">
        <f>'FS &amp; Trend Analysis'!F19/'FS &amp; Trend Analysis'!F$6</f>
        <v>0</v>
      </c>
      <c r="G19" s="107">
        <f>'FS &amp; Trend Analysis'!G19/'FS &amp; Trend Analysis'!G$6</f>
        <v>0</v>
      </c>
    </row>
    <row r="20" spans="1:7" x14ac:dyDescent="0.3">
      <c r="A20" s="10" t="s">
        <v>27</v>
      </c>
      <c r="B20" s="107">
        <f>'FS &amp; Trend Analysis'!B20/'FS &amp; Trend Analysis'!B$6</f>
        <v>0.10338000791908139</v>
      </c>
      <c r="C20" s="107">
        <f>'FS &amp; Trend Analysis'!C20/'FS &amp; Trend Analysis'!C$6</f>
        <v>9.2755787901418973E-2</v>
      </c>
      <c r="D20" s="107">
        <f>'FS &amp; Trend Analysis'!D20/'FS &amp; Trend Analysis'!D$6</f>
        <v>8.0467919177596603E-2</v>
      </c>
      <c r="E20" s="107">
        <f>'FS &amp; Trend Analysis'!E20/'FS &amp; Trend Analysis'!E$6</f>
        <v>5.4137355863369353E-2</v>
      </c>
      <c r="F20" s="107">
        <f>'FS &amp; Trend Analysis'!F20/'FS &amp; Trend Analysis'!F$6</f>
        <v>4.9809898287459763E-2</v>
      </c>
      <c r="G20" s="107">
        <f>'FS &amp; Trend Analysis'!G20/'FS &amp; Trend Analysis'!G$6</f>
        <v>3.9883869828233234E-2</v>
      </c>
    </row>
    <row r="21" spans="1:7" x14ac:dyDescent="0.3">
      <c r="A21" s="17" t="s">
        <v>28</v>
      </c>
      <c r="B21" s="107">
        <f>'FS &amp; Trend Analysis'!B21/'FS &amp; Trend Analysis'!B$6</f>
        <v>1.0186818329073827E-2</v>
      </c>
      <c r="C21" s="107">
        <f>'FS &amp; Trend Analysis'!C21/'FS &amp; Trend Analysis'!C$6</f>
        <v>1.0231516056758776E-2</v>
      </c>
      <c r="D21" s="107">
        <f>'FS &amp; Trend Analysis'!D21/'FS &amp; Trend Analysis'!D$6</f>
        <v>1.0398203946591043E-2</v>
      </c>
      <c r="E21" s="107">
        <f>'FS &amp; Trend Analysis'!E21/'FS &amp; Trend Analysis'!E$6</f>
        <v>9.8266734353470164E-3</v>
      </c>
      <c r="F21" s="107">
        <f>'FS &amp; Trend Analysis'!F21/'FS &amp; Trend Analysis'!F$6</f>
        <v>9.3913495596789388E-3</v>
      </c>
      <c r="G21" s="107">
        <f>'FS &amp; Trend Analysis'!G21/'FS &amp; Trend Analysis'!G$6</f>
        <v>9.1734004503907802E-3</v>
      </c>
    </row>
    <row r="22" spans="1:7" x14ac:dyDescent="0.3">
      <c r="A22" s="10" t="s">
        <v>29</v>
      </c>
      <c r="B22" s="107">
        <f>'FS &amp; Trend Analysis'!B22/'FS &amp; Trend Analysis'!B$6</f>
        <v>9.3193189590007552E-2</v>
      </c>
      <c r="C22" s="107">
        <f>'FS &amp; Trend Analysis'!C22/'FS &amp; Trend Analysis'!C$6</f>
        <v>8.2524271844660199E-2</v>
      </c>
      <c r="D22" s="107">
        <f>'FS &amp; Trend Analysis'!D22/'FS &amp; Trend Analysis'!D$6</f>
        <v>7.0069715231005553E-2</v>
      </c>
      <c r="E22" s="107">
        <f>'FS &amp; Trend Analysis'!E22/'FS &amp; Trend Analysis'!E$6</f>
        <v>4.4310682428022337E-2</v>
      </c>
      <c r="F22" s="107">
        <f>'FS &amp; Trend Analysis'!F22/'FS &amp; Trend Analysis'!F$6</f>
        <v>4.041854872778082E-2</v>
      </c>
      <c r="G22" s="107">
        <f>'FS &amp; Trend Analysis'!G22/'FS &amp; Trend Analysis'!G$6</f>
        <v>3.0710469377842459E-2</v>
      </c>
    </row>
    <row r="23" spans="1:7" x14ac:dyDescent="0.3">
      <c r="A23" s="17" t="s">
        <v>30</v>
      </c>
      <c r="B23" s="107">
        <f>'FS &amp; Trend Analysis'!B23/'FS &amp; Trend Analysis'!B$6</f>
        <v>5.687340268528851E-3</v>
      </c>
      <c r="C23" s="107">
        <f>'FS &amp; Trend Analysis'!C23/'FS &amp; Trend Analysis'!C$6</f>
        <v>3.3233756534727407E-3</v>
      </c>
      <c r="D23" s="107">
        <f>'FS &amp; Trend Analysis'!D23/'FS &amp; Trend Analysis'!D$6</f>
        <v>2.9934223482610579E-3</v>
      </c>
      <c r="E23" s="107">
        <f>'FS &amp; Trend Analysis'!E23/'FS &amp; Trend Analysis'!E$6</f>
        <v>3.7711219087678584E-3</v>
      </c>
      <c r="F23" s="107">
        <f>'FS &amp; Trend Analysis'!F23/'FS &amp; Trend Analysis'!F$6</f>
        <v>2.859649692912618E-3</v>
      </c>
      <c r="G23" s="107">
        <f>'FS &amp; Trend Analysis'!G23/'FS &amp; Trend Analysis'!G$6</f>
        <v>6.1008816473116382E-3</v>
      </c>
    </row>
    <row r="24" spans="1:7" x14ac:dyDescent="0.3">
      <c r="A24" s="10" t="s">
        <v>31</v>
      </c>
      <c r="B24" s="107">
        <f>'FS &amp; Trend Analysis'!B24/'FS &amp; Trend Analysis'!B$6</f>
        <v>8.7505849321478715E-2</v>
      </c>
      <c r="C24" s="107">
        <f>'FS &amp; Trend Analysis'!C24/'FS &amp; Trend Analysis'!C$6</f>
        <v>7.9200896191187448E-2</v>
      </c>
      <c r="D24" s="107">
        <f>'FS &amp; Trend Analysis'!D24/'FS &amp; Trend Analysis'!D$6</f>
        <v>6.7076292882744498E-2</v>
      </c>
      <c r="E24" s="107">
        <f>'FS &amp; Trend Analysis'!E24/'FS &amp; Trend Analysis'!E$6</f>
        <v>4.0539560519254475E-2</v>
      </c>
      <c r="F24" s="107">
        <f>'FS &amp; Trend Analysis'!F24/'FS &amp; Trend Analysis'!F$6</f>
        <v>3.7558899034868205E-2</v>
      </c>
      <c r="G24" s="107">
        <f>'FS &amp; Trend Analysis'!G24/'FS &amp; Trend Analysis'!G$6</f>
        <v>2.4609587730530822E-2</v>
      </c>
    </row>
    <row r="25" spans="1:7" x14ac:dyDescent="0.3">
      <c r="A25" s="17" t="s">
        <v>32</v>
      </c>
      <c r="B25" s="107">
        <f>'FS &amp; Trend Analysis'!B25/'FS &amp; Trend Analysis'!B$6</f>
        <v>0</v>
      </c>
      <c r="C25" s="107">
        <f>'FS &amp; Trend Analysis'!C25/'FS &amp; Trend Analysis'!C$6</f>
        <v>0</v>
      </c>
      <c r="D25" s="107">
        <f>'FS &amp; Trend Analysis'!D25/'FS &amp; Trend Analysis'!D$6</f>
        <v>0</v>
      </c>
      <c r="E25" s="107">
        <f>'FS &amp; Trend Analysis'!E25/'FS &amp; Trend Analysis'!E$6</f>
        <v>0</v>
      </c>
      <c r="F25" s="107">
        <f>'FS &amp; Trend Analysis'!F25/'FS &amp; Trend Analysis'!F$6</f>
        <v>0</v>
      </c>
      <c r="G25" s="107">
        <f>'FS &amp; Trend Analysis'!G25/'FS &amp; Trend Analysis'!G$6</f>
        <v>0</v>
      </c>
    </row>
    <row r="26" spans="1:7" x14ac:dyDescent="0.3">
      <c r="A26" s="10" t="s">
        <v>33</v>
      </c>
      <c r="B26" s="107">
        <f>'FS &amp; Trend Analysis'!B26/'FS &amp; Trend Analysis'!B$6</f>
        <v>8.7505849321478715E-2</v>
      </c>
      <c r="C26" s="107">
        <f>'FS &amp; Trend Analysis'!C26/'FS &amp; Trend Analysis'!C$6</f>
        <v>7.9200896191187448E-2</v>
      </c>
      <c r="D26" s="107">
        <f>'FS &amp; Trend Analysis'!D26/'FS &amp; Trend Analysis'!D$6</f>
        <v>6.7076292882744498E-2</v>
      </c>
      <c r="E26" s="107">
        <f>'FS &amp; Trend Analysis'!E26/'FS &amp; Trend Analysis'!E$6</f>
        <v>4.0539560519254475E-2</v>
      </c>
      <c r="F26" s="107">
        <f>'FS &amp; Trend Analysis'!F26/'FS &amp; Trend Analysis'!F$6</f>
        <v>3.7558899034868205E-2</v>
      </c>
      <c r="G26" s="107">
        <f>'FS &amp; Trend Analysis'!G26/'FS &amp; Trend Analysis'!G$6</f>
        <v>2.4609587730530822E-2</v>
      </c>
    </row>
    <row r="27" spans="1:7" x14ac:dyDescent="0.3">
      <c r="A27" s="17" t="s">
        <v>34</v>
      </c>
      <c r="B27" s="107">
        <f>'FS &amp; Trend Analysis'!B27/'FS &amp; Trend Analysis'!B$6</f>
        <v>-3.2756200280767431E-3</v>
      </c>
      <c r="C27" s="107">
        <f>'FS &amp; Trend Analysis'!C27/'FS &amp; Trend Analysis'!C$6</f>
        <v>-2.4271844660194173E-3</v>
      </c>
      <c r="D27" s="107">
        <f>'FS &amp; Trend Analysis'!D27/'FS &amp; Trend Analysis'!D$6</f>
        <v>-6.6958131474260506E-4</v>
      </c>
      <c r="E27" s="107">
        <f>'FS &amp; Trend Analysis'!E27/'FS &amp; Trend Analysis'!E$6</f>
        <v>6.2005946769163826E-3</v>
      </c>
      <c r="F27" s="107">
        <f>'FS &amp; Trend Analysis'!F27/'FS &amp; Trend Analysis'!F$6</f>
        <v>-5.0693790010723685E-3</v>
      </c>
      <c r="G27" s="107">
        <f>'FS &amp; Trend Analysis'!G27/'FS &amp; Trend Analysis'!G$6</f>
        <v>-5.5710101411518814E-3</v>
      </c>
    </row>
    <row r="28" spans="1:7" x14ac:dyDescent="0.3">
      <c r="A28" s="10" t="s">
        <v>35</v>
      </c>
      <c r="B28" s="107">
        <f>'FS &amp; Trend Analysis'!B28/'FS &amp; Trend Analysis'!B$6</f>
        <v>8.4230229293401959E-2</v>
      </c>
      <c r="C28" s="107">
        <f>'FS &amp; Trend Analysis'!C28/'FS &amp; Trend Analysis'!C$6</f>
        <v>7.6773711725168031E-2</v>
      </c>
      <c r="D28" s="107">
        <f>'FS &amp; Trend Analysis'!D28/'FS &amp; Trend Analysis'!D$6</f>
        <v>6.6406711568001889E-2</v>
      </c>
      <c r="E28" s="107">
        <f>'FS &amp; Trend Analysis'!E28/'FS &amp; Trend Analysis'!E$6</f>
        <v>4.6740155196170863E-2</v>
      </c>
      <c r="F28" s="107">
        <f>'FS &amp; Trend Analysis'!F28/'FS &amp; Trend Analysis'!F$6</f>
        <v>3.2489520033795835E-2</v>
      </c>
      <c r="G28" s="107">
        <f>'FS &amp; Trend Analysis'!G28/'FS &amp; Trend Analysis'!G$6</f>
        <v>1.9038577589378942E-2</v>
      </c>
    </row>
    <row r="29" spans="1:7" x14ac:dyDescent="0.3">
      <c r="A29" s="17" t="s">
        <v>36</v>
      </c>
      <c r="B29" s="107">
        <f>'FS &amp; Trend Analysis'!B29/'FS &amp; Trend Analysis'!B$6</f>
        <v>1.8357870487023507E-2</v>
      </c>
      <c r="C29" s="107">
        <f>'FS &amp; Trend Analysis'!C29/'FS &amp; Trend Analysis'!C$6</f>
        <v>1.8595967139656461E-2</v>
      </c>
      <c r="D29" s="107">
        <f>'FS &amp; Trend Analysis'!D29/'FS &amp; Trend Analysis'!D$6</f>
        <v>1.4730788924337311E-2</v>
      </c>
      <c r="E29" s="107">
        <f>'FS &amp; Trend Analysis'!E29/'FS &amp; Trend Analysis'!E$6</f>
        <v>8.5938066574806002E-3</v>
      </c>
      <c r="F29" s="107">
        <f>'FS &amp; Trend Analysis'!F29/'FS &amp; Trend Analysis'!F$6</f>
        <v>5.1993630780229425E-3</v>
      </c>
      <c r="G29" s="107">
        <f>'FS &amp; Trend Analysis'!G29/'FS &amp; Trend Analysis'!G$6</f>
        <v>5.83962555746898E-3</v>
      </c>
    </row>
    <row r="30" spans="1:7" x14ac:dyDescent="0.3">
      <c r="A30" s="10" t="s">
        <v>37</v>
      </c>
      <c r="B30" s="107">
        <f>'FS &amp; Trend Analysis'!B30/'FS &amp; Trend Analysis'!B$6</f>
        <v>6.5872358806378456E-2</v>
      </c>
      <c r="C30" s="107">
        <f>'FS &amp; Trend Analysis'!C30/'FS &amp; Trend Analysis'!C$6</f>
        <v>5.8177744585511573E-2</v>
      </c>
      <c r="D30" s="107">
        <f>'FS &amp; Trend Analysis'!D30/'FS &amp; Trend Analysis'!D$6</f>
        <v>5.1675922643664579E-2</v>
      </c>
      <c r="E30" s="107">
        <f>'FS &amp; Trend Analysis'!E30/'FS &amp; Trend Analysis'!E$6</f>
        <v>3.8146348538690263E-2</v>
      </c>
      <c r="F30" s="107">
        <f>'FS &amp; Trend Analysis'!F30/'FS &amp; Trend Analysis'!F$6</f>
        <v>2.7290156955772894E-2</v>
      </c>
      <c r="G30" s="107">
        <f>'FS &amp; Trend Analysis'!G30/'FS &amp; Trend Analysis'!G$6</f>
        <v>1.3198952031909962E-2</v>
      </c>
    </row>
    <row r="33" spans="1:7" x14ac:dyDescent="0.3">
      <c r="A33" s="6" t="s">
        <v>39</v>
      </c>
      <c r="B33" s="1"/>
      <c r="C33" s="1"/>
      <c r="D33" s="1"/>
      <c r="E33" s="1"/>
      <c r="F33" s="1"/>
    </row>
    <row r="34" spans="1:7" x14ac:dyDescent="0.3">
      <c r="A34" s="7" t="s">
        <v>4</v>
      </c>
      <c r="B34" s="8">
        <v>46112</v>
      </c>
      <c r="C34" s="8">
        <v>45747</v>
      </c>
      <c r="D34" s="8">
        <v>45382</v>
      </c>
      <c r="E34" s="8">
        <v>45016</v>
      </c>
      <c r="F34" s="8">
        <v>44651</v>
      </c>
      <c r="G34" s="103">
        <v>44286</v>
      </c>
    </row>
    <row r="35" spans="1:7" x14ac:dyDescent="0.3">
      <c r="A35" s="113" t="s">
        <v>40</v>
      </c>
      <c r="B35" s="113"/>
      <c r="C35" s="113"/>
      <c r="D35" s="113"/>
      <c r="E35" s="113"/>
      <c r="F35" s="113"/>
      <c r="G35" s="105"/>
    </row>
    <row r="36" spans="1:7" x14ac:dyDescent="0.3">
      <c r="A36" s="38" t="s">
        <v>41</v>
      </c>
      <c r="B36" s="107">
        <f>'FS &amp; Trend Analysis'!B40/'FS &amp; Trend Analysis'!B$62</f>
        <v>1.0458742065781882E-2</v>
      </c>
      <c r="C36" s="107">
        <f>'FS &amp; Trend Analysis'!C40/'FS &amp; Trend Analysis'!C$62</f>
        <v>1.1401163704985061E-2</v>
      </c>
      <c r="D36" s="107">
        <f>'FS &amp; Trend Analysis'!D40/'FS &amp; Trend Analysis'!D$62</f>
        <v>1.3497412220277769E-2</v>
      </c>
      <c r="E36" s="107">
        <f>'FS &amp; Trend Analysis'!E40/'FS &amp; Trend Analysis'!E$62</f>
        <v>1.5201537915038549E-2</v>
      </c>
      <c r="F36" s="107">
        <f>'FS &amp; Trend Analysis'!F40/'FS &amp; Trend Analysis'!F$62</f>
        <v>1.6680232491487923E-2</v>
      </c>
      <c r="G36" s="107">
        <f>'FS &amp; Trend Analysis'!G40/'FS &amp; Trend Analysis'!G$62</f>
        <v>1.7847491770255002E-2</v>
      </c>
    </row>
    <row r="37" spans="1:7" x14ac:dyDescent="0.3">
      <c r="A37" s="38" t="s">
        <v>42</v>
      </c>
      <c r="B37" s="107">
        <f>'FS &amp; Trend Analysis'!B41/'FS &amp; Trend Analysis'!B$62</f>
        <v>0</v>
      </c>
      <c r="C37" s="107">
        <f>'FS &amp; Trend Analysis'!C41/'FS &amp; Trend Analysis'!C$62</f>
        <v>0</v>
      </c>
      <c r="D37" s="107">
        <f>'FS &amp; Trend Analysis'!D41/'FS &amp; Trend Analysis'!D$62</f>
        <v>0</v>
      </c>
      <c r="E37" s="107">
        <f>'FS &amp; Trend Analysis'!E41/'FS &amp; Trend Analysis'!E$62</f>
        <v>0</v>
      </c>
      <c r="F37" s="107">
        <f>'FS &amp; Trend Analysis'!F41/'FS &amp; Trend Analysis'!F$62</f>
        <v>2.292815462747481E-5</v>
      </c>
      <c r="G37" s="107">
        <f>'FS &amp; Trend Analysis'!G41/'FS &amp; Trend Analysis'!G$62</f>
        <v>0</v>
      </c>
    </row>
    <row r="38" spans="1:7" x14ac:dyDescent="0.3">
      <c r="A38" s="42" t="s">
        <v>43</v>
      </c>
      <c r="B38" s="107">
        <f>'FS &amp; Trend Analysis'!B42/'FS &amp; Trend Analysis'!B$62</f>
        <v>0</v>
      </c>
      <c r="C38" s="107">
        <f>'FS &amp; Trend Analysis'!C42/'FS &amp; Trend Analysis'!C$62</f>
        <v>0</v>
      </c>
      <c r="D38" s="107">
        <f>'FS &amp; Trend Analysis'!D42/'FS &amp; Trend Analysis'!D$62</f>
        <v>0</v>
      </c>
      <c r="E38" s="107">
        <f>'FS &amp; Trend Analysis'!E42/'FS &amp; Trend Analysis'!E$62</f>
        <v>0</v>
      </c>
      <c r="F38" s="107">
        <f>'FS &amp; Trend Analysis'!F42/'FS &amp; Trend Analysis'!F$62</f>
        <v>0</v>
      </c>
      <c r="G38" s="107">
        <f>'FS &amp; Trend Analysis'!G42/'FS &amp; Trend Analysis'!G$62</f>
        <v>0</v>
      </c>
    </row>
    <row r="39" spans="1:7" x14ac:dyDescent="0.3">
      <c r="A39" s="38" t="s">
        <v>44</v>
      </c>
      <c r="B39" s="107">
        <f>'FS &amp; Trend Analysis'!B43/'FS &amp; Trend Analysis'!B$62</f>
        <v>0.61858049624927869</v>
      </c>
      <c r="C39" s="107">
        <f>'FS &amp; Trend Analysis'!C43/'FS &amp; Trend Analysis'!C$62</f>
        <v>0.60811448340934104</v>
      </c>
      <c r="D39" s="107">
        <f>'FS &amp; Trend Analysis'!D43/'FS &amp; Trend Analysis'!D$62</f>
        <v>0.63465763115761253</v>
      </c>
      <c r="E39" s="107">
        <f>'FS &amp; Trend Analysis'!E43/'FS &amp; Trend Analysis'!E$62</f>
        <v>0.60586748020143333</v>
      </c>
      <c r="F39" s="107">
        <f>'FS &amp; Trend Analysis'!F43/'FS &amp; Trend Analysis'!F$62</f>
        <v>0.54417682192848715</v>
      </c>
      <c r="G39" s="107">
        <f>'FS &amp; Trend Analysis'!G43/'FS &amp; Trend Analysis'!G$62</f>
        <v>0.48905566746916918</v>
      </c>
    </row>
    <row r="40" spans="1:7" x14ac:dyDescent="0.3">
      <c r="A40" s="17" t="s">
        <v>45</v>
      </c>
      <c r="B40" s="107">
        <f>'FS &amp; Trend Analysis'!B44/'FS &amp; Trend Analysis'!B$62</f>
        <v>0.62903923831506059</v>
      </c>
      <c r="C40" s="107">
        <f>'FS &amp; Trend Analysis'!C44/'FS &amp; Trend Analysis'!C$62</f>
        <v>0.61951564711432616</v>
      </c>
      <c r="D40" s="107">
        <f>'FS &amp; Trend Analysis'!D44/'FS &amp; Trend Analysis'!D$62</f>
        <v>0.64815504337789032</v>
      </c>
      <c r="E40" s="107">
        <f>'FS &amp; Trend Analysis'!E44/'FS &amp; Trend Analysis'!E$62</f>
        <v>0.62106901811647186</v>
      </c>
      <c r="F40" s="107">
        <f>'FS &amp; Trend Analysis'!F44/'FS &amp; Trend Analysis'!F$62</f>
        <v>0.56087998257460248</v>
      </c>
      <c r="G40" s="107">
        <f>'FS &amp; Trend Analysis'!G44/'FS &amp; Trend Analysis'!G$62</f>
        <v>0.50690315923942419</v>
      </c>
    </row>
    <row r="41" spans="1:7" x14ac:dyDescent="0.3">
      <c r="A41" s="10"/>
      <c r="B41" s="107">
        <f>'FS &amp; Trend Analysis'!B45/'FS &amp; Trend Analysis'!B$62</f>
        <v>0</v>
      </c>
      <c r="C41" s="107">
        <f>'FS &amp; Trend Analysis'!C45/'FS &amp; Trend Analysis'!C$62</f>
        <v>0</v>
      </c>
      <c r="D41" s="107">
        <f>'FS &amp; Trend Analysis'!D45/'FS &amp; Trend Analysis'!D$62</f>
        <v>0</v>
      </c>
      <c r="E41" s="107">
        <f>'FS &amp; Trend Analysis'!E45/'FS &amp; Trend Analysis'!E$62</f>
        <v>0</v>
      </c>
      <c r="F41" s="107">
        <f>'FS &amp; Trend Analysis'!F45/'FS &amp; Trend Analysis'!F$62</f>
        <v>0</v>
      </c>
      <c r="G41" s="107">
        <f>'FS &amp; Trend Analysis'!G45/'FS &amp; Trend Analysis'!G$62</f>
        <v>0</v>
      </c>
    </row>
    <row r="42" spans="1:7" x14ac:dyDescent="0.3">
      <c r="A42" s="17" t="s">
        <v>46</v>
      </c>
      <c r="B42" s="107">
        <f>'FS &amp; Trend Analysis'!B46/'FS &amp; Trend Analysis'!B$62</f>
        <v>0</v>
      </c>
      <c r="C42" s="107">
        <f>'FS &amp; Trend Analysis'!C46/'FS &amp; Trend Analysis'!C$62</f>
        <v>0</v>
      </c>
      <c r="D42" s="107">
        <f>'FS &amp; Trend Analysis'!D46/'FS &amp; Trend Analysis'!D$62</f>
        <v>0</v>
      </c>
      <c r="E42" s="107">
        <f>'FS &amp; Trend Analysis'!E46/'FS &amp; Trend Analysis'!E$62</f>
        <v>0</v>
      </c>
      <c r="F42" s="107">
        <f>'FS &amp; Trend Analysis'!F46/'FS &amp; Trend Analysis'!F$62</f>
        <v>0</v>
      </c>
      <c r="G42" s="107">
        <f>'FS &amp; Trend Analysis'!G46/'FS &amp; Trend Analysis'!G$62</f>
        <v>0</v>
      </c>
    </row>
    <row r="43" spans="1:7" x14ac:dyDescent="0.3">
      <c r="A43" s="38" t="s">
        <v>47</v>
      </c>
      <c r="B43" s="107">
        <f>'FS &amp; Trend Analysis'!B47/'FS &amp; Trend Analysis'!B$62</f>
        <v>0</v>
      </c>
      <c r="C43" s="107">
        <f>'FS &amp; Trend Analysis'!C47/'FS &amp; Trend Analysis'!C$62</f>
        <v>0</v>
      </c>
      <c r="D43" s="107">
        <f>'FS &amp; Trend Analysis'!D47/'FS &amp; Trend Analysis'!D$62</f>
        <v>0</v>
      </c>
      <c r="E43" s="107">
        <f>'FS &amp; Trend Analysis'!E47/'FS &amp; Trend Analysis'!E$62</f>
        <v>3.1343377144409379E-5</v>
      </c>
      <c r="F43" s="107">
        <f>'FS &amp; Trend Analysis'!F47/'FS &amp; Trend Analysis'!F$62</f>
        <v>1.0317669582363664E-4</v>
      </c>
      <c r="G43" s="107">
        <f>'FS &amp; Trend Analysis'!G47/'FS &amp; Trend Analysis'!G$62</f>
        <v>0</v>
      </c>
    </row>
    <row r="44" spans="1:7" x14ac:dyDescent="0.3">
      <c r="A44" s="38" t="s">
        <v>48</v>
      </c>
      <c r="B44" s="107">
        <f>'FS &amp; Trend Analysis'!B48/'FS &amp; Trend Analysis'!B$62</f>
        <v>2.2143681477207154E-2</v>
      </c>
      <c r="C44" s="107">
        <f>'FS &amp; Trend Analysis'!C48/'FS &amp; Trend Analysis'!C$62</f>
        <v>2.6261990879069035E-2</v>
      </c>
      <c r="D44" s="107">
        <f>'FS &amp; Trend Analysis'!D48/'FS &amp; Trend Analysis'!D$62</f>
        <v>1.2752727408124512E-2</v>
      </c>
      <c r="E44" s="107">
        <f>'FS &amp; Trend Analysis'!E48/'FS &amp; Trend Analysis'!E$62</f>
        <v>8.358233905175835E-3</v>
      </c>
      <c r="F44" s="107">
        <f>'FS &amp; Trend Analysis'!F48/'FS &amp; Trend Analysis'!F$62</f>
        <v>1.5373327677721859E-2</v>
      </c>
      <c r="G44" s="107">
        <f>'FS &amp; Trend Analysis'!G48/'FS &amp; Trend Analysis'!G$62</f>
        <v>1.1361961381614504E-2</v>
      </c>
    </row>
    <row r="45" spans="1:7" x14ac:dyDescent="0.3">
      <c r="A45" s="38" t="s">
        <v>49</v>
      </c>
      <c r="B45" s="107">
        <f>'FS &amp; Trend Analysis'!B49/'FS &amp; Trend Analysis'!B$62</f>
        <v>2.8130409694171955E-3</v>
      </c>
      <c r="C45" s="107">
        <f>'FS &amp; Trend Analysis'!C49/'FS &amp; Trend Analysis'!C$62</f>
        <v>1.2580594433086963E-3</v>
      </c>
      <c r="D45" s="107">
        <f>'FS &amp; Trend Analysis'!D49/'FS &amp; Trend Analysis'!D$62</f>
        <v>1.3962840227873554E-3</v>
      </c>
      <c r="E45" s="107">
        <f>'FS &amp; Trend Analysis'!E49/'FS &amp; Trend Analysis'!E$62</f>
        <v>1.2850784629207846E-3</v>
      </c>
      <c r="F45" s="107">
        <f>'FS &amp; Trend Analysis'!F49/'FS &amp; Trend Analysis'!F$62</f>
        <v>1.7081475197468733E-3</v>
      </c>
      <c r="G45" s="107">
        <f>'FS &amp; Trend Analysis'!G49/'FS &amp; Trend Analysis'!G$62</f>
        <v>9.2124011202279765E-4</v>
      </c>
    </row>
    <row r="46" spans="1:7" x14ac:dyDescent="0.3">
      <c r="A46" s="17" t="s">
        <v>50</v>
      </c>
      <c r="B46" s="107">
        <f>'FS &amp; Trend Analysis'!B50/'FS &amp; Trend Analysis'!B$62</f>
        <v>2.4956722446624349E-2</v>
      </c>
      <c r="C46" s="107">
        <f>'FS &amp; Trend Analysis'!C50/'FS &amp; Trend Analysis'!C$62</f>
        <v>2.7520050322377733E-2</v>
      </c>
      <c r="D46" s="107">
        <f>'FS &amp; Trend Analysis'!D50/'FS &amp; Trend Analysis'!D$62</f>
        <v>1.4149011430911868E-2</v>
      </c>
      <c r="E46" s="107">
        <f>'FS &amp; Trend Analysis'!E50/'FS &amp; Trend Analysis'!E$62</f>
        <v>9.6746557452410294E-3</v>
      </c>
      <c r="F46" s="107">
        <f>'FS &amp; Trend Analysis'!F50/'FS &amp; Trend Analysis'!F$62</f>
        <v>1.7184651893292369E-2</v>
      </c>
      <c r="G46" s="107">
        <f>'FS &amp; Trend Analysis'!G50/'FS &amp; Trend Analysis'!G$62</f>
        <v>1.2283201493637302E-2</v>
      </c>
    </row>
    <row r="47" spans="1:7" x14ac:dyDescent="0.3">
      <c r="A47" s="10"/>
      <c r="B47" s="107">
        <f>'FS &amp; Trend Analysis'!B51/'FS &amp; Trend Analysis'!B$62</f>
        <v>7.0686670513560304E-3</v>
      </c>
      <c r="C47" s="107">
        <f>'FS &amp; Trend Analysis'!C51/'FS &amp; Trend Analysis'!C$62</f>
        <v>1.1479792420191854E-2</v>
      </c>
      <c r="D47" s="107">
        <f>'FS &amp; Trend Analysis'!D51/'FS &amp; Trend Analysis'!D$62</f>
        <v>9.587816956473174E-3</v>
      </c>
      <c r="E47" s="107">
        <f>'FS &amp; Trend Analysis'!E51/'FS &amp; Trend Analysis'!E$62</f>
        <v>1.0677643813862129E-2</v>
      </c>
      <c r="F47" s="107">
        <f>'FS &amp; Trend Analysis'!F51/'FS &amp; Trend Analysis'!F$62</f>
        <v>1.4857444198603676E-2</v>
      </c>
      <c r="G47" s="107">
        <f>'FS &amp; Trend Analysis'!G51/'FS &amp; Trend Analysis'!G$62</f>
        <v>0</v>
      </c>
    </row>
    <row r="48" spans="1:7" x14ac:dyDescent="0.3">
      <c r="A48" s="17" t="s">
        <v>51</v>
      </c>
      <c r="B48" s="107">
        <f>'FS &amp; Trend Analysis'!B52/'FS &amp; Trend Analysis'!B$62</f>
        <v>0</v>
      </c>
      <c r="C48" s="107">
        <f>'FS &amp; Trend Analysis'!C52/'FS &amp; Trend Analysis'!C$62</f>
        <v>0</v>
      </c>
      <c r="D48" s="107">
        <f>'FS &amp; Trend Analysis'!D52/'FS &amp; Trend Analysis'!D$62</f>
        <v>0</v>
      </c>
      <c r="E48" s="107">
        <f>'FS &amp; Trend Analysis'!E52/'FS &amp; Trend Analysis'!E$62</f>
        <v>0</v>
      </c>
      <c r="F48" s="107">
        <f>'FS &amp; Trend Analysis'!F52/'FS &amp; Trend Analysis'!F$62</f>
        <v>0</v>
      </c>
      <c r="G48" s="107">
        <f>'FS &amp; Trend Analysis'!G52/'FS &amp; Trend Analysis'!G$62</f>
        <v>0</v>
      </c>
    </row>
    <row r="49" spans="1:8" x14ac:dyDescent="0.3">
      <c r="A49" s="38" t="s">
        <v>47</v>
      </c>
      <c r="B49" s="107">
        <f>'FS &amp; Trend Analysis'!B53/'FS &amp; Trend Analysis'!B$62</f>
        <v>0</v>
      </c>
      <c r="C49" s="107">
        <f>'FS &amp; Trend Analysis'!C53/'FS &amp; Trend Analysis'!C$62</f>
        <v>0</v>
      </c>
      <c r="D49" s="107">
        <f>'FS &amp; Trend Analysis'!D53/'FS &amp; Trend Analysis'!D$62</f>
        <v>7.4468481215325623E-5</v>
      </c>
      <c r="E49" s="107">
        <f>'FS &amp; Trend Analysis'!E53/'FS &amp; Trend Analysis'!E$62</f>
        <v>8.3582339051758349E-5</v>
      </c>
      <c r="F49" s="107">
        <f>'FS &amp; Trend Analysis'!F53/'FS &amp; Trend Analysis'!F$62</f>
        <v>3.9069575485217077E-2</v>
      </c>
      <c r="G49" s="107">
        <f>'FS &amp; Trend Analysis'!G53/'FS &amp; Trend Analysis'!G$62</f>
        <v>6.8245467498648849E-2</v>
      </c>
    </row>
    <row r="50" spans="1:8" x14ac:dyDescent="0.3">
      <c r="A50" s="38" t="s">
        <v>48</v>
      </c>
      <c r="B50" s="107">
        <f>'FS &amp; Trend Analysis'!B54/'FS &amp; Trend Analysis'!B$62</f>
        <v>7.0686670513560304E-3</v>
      </c>
      <c r="C50" s="107">
        <f>'FS &amp; Trend Analysis'!C54/'FS &amp; Trend Analysis'!C$62</f>
        <v>1.1479792420191854E-2</v>
      </c>
      <c r="D50" s="107">
        <f>'FS &amp; Trend Analysis'!D54/'FS &amp; Trend Analysis'!D$62</f>
        <v>9.587816956473174E-3</v>
      </c>
      <c r="E50" s="107">
        <f>'FS &amp; Trend Analysis'!E54/'FS &amp; Trend Analysis'!E$62</f>
        <v>1.0677643813862129E-2</v>
      </c>
      <c r="F50" s="107">
        <f>'FS &amp; Trend Analysis'!F54/'FS &amp; Trend Analysis'!F$62</f>
        <v>1.4857444198603676E-2</v>
      </c>
      <c r="G50" s="107">
        <f>'FS &amp; Trend Analysis'!G54/'FS &amp; Trend Analysis'!G$62</f>
        <v>8.0209305753451577E-3</v>
      </c>
    </row>
    <row r="51" spans="1:8" x14ac:dyDescent="0.3">
      <c r="A51" s="38" t="s">
        <v>52</v>
      </c>
      <c r="B51" s="107">
        <f>'FS &amp; Trend Analysis'!B55/'FS &amp; Trend Analysis'!B$62</f>
        <v>1.0098095787651471E-2</v>
      </c>
      <c r="C51" s="107">
        <f>'FS &amp; Trend Analysis'!C55/'FS &amp; Trend Analysis'!C$62</f>
        <v>5.8185249253027201E-3</v>
      </c>
      <c r="D51" s="107">
        <f>'FS &amp; Trend Analysis'!D55/'FS &amp; Trend Analysis'!D$62</f>
        <v>6.4229065048218344E-3</v>
      </c>
      <c r="E51" s="107">
        <f>'FS &amp; Trend Analysis'!E55/'FS &amp; Trend Analysis'!E$62</f>
        <v>5.2447917754978365E-3</v>
      </c>
      <c r="F51" s="107">
        <f>'FS &amp; Trend Analysis'!F55/'FS &amp; Trend Analysis'!F$62</f>
        <v>9.0795492324800241E-3</v>
      </c>
      <c r="G51" s="107">
        <f>'FS &amp; Trend Analysis'!G55/'FS &amp; Trend Analysis'!G$62</f>
        <v>7.8612489559278728E-3</v>
      </c>
      <c r="H51" s="76"/>
    </row>
    <row r="52" spans="1:8" x14ac:dyDescent="0.3">
      <c r="A52" s="38" t="s">
        <v>53</v>
      </c>
      <c r="B52" s="107">
        <f>'FS &amp; Trend Analysis'!B56/'FS &amp; Trend Analysis'!B$62</f>
        <v>0.1613531448355453</v>
      </c>
      <c r="C52" s="107">
        <f>'FS &amp; Trend Analysis'!C56/'FS &amp; Trend Analysis'!C$62</f>
        <v>0.16339047019971695</v>
      </c>
      <c r="D52" s="107">
        <f>'FS &amp; Trend Analysis'!D56/'FS &amp; Trend Analysis'!D$62</f>
        <v>0.16364448747067806</v>
      </c>
      <c r="E52" s="107">
        <f>'FS &amp; Trend Analysis'!E56/'FS &amp; Trend Analysis'!E$62</f>
        <v>0.17636918319159159</v>
      </c>
      <c r="F52" s="107">
        <f>'FS &amp; Trend Analysis'!F56/'FS &amp; Trend Analysis'!F$62</f>
        <v>0.16608008804411378</v>
      </c>
      <c r="G52" s="107">
        <f>'FS &amp; Trend Analysis'!G56/'FS &amp; Trend Analysis'!G$62</f>
        <v>0.16180661327568419</v>
      </c>
    </row>
    <row r="53" spans="1:8" x14ac:dyDescent="0.3">
      <c r="A53" s="38" t="s">
        <v>54</v>
      </c>
      <c r="B53" s="107">
        <f>'FS &amp; Trend Analysis'!B57/'FS &amp; Trend Analysis'!B$62</f>
        <v>1.9402769763416042E-2</v>
      </c>
      <c r="C53" s="107">
        <f>'FS &amp; Trend Analysis'!C57/'FS &amp; Trend Analysis'!C$62</f>
        <v>3.8056298160088063E-2</v>
      </c>
      <c r="D53" s="107">
        <f>'FS &amp; Trend Analysis'!D57/'FS &amp; Trend Analysis'!D$62</f>
        <v>1.8989462709908034E-2</v>
      </c>
      <c r="E53" s="107">
        <f>'FS &amp; Trend Analysis'!E57/'FS &amp; Trend Analysis'!E$62</f>
        <v>2.9734417117663035E-2</v>
      </c>
      <c r="F53" s="107">
        <f>'FS &amp; Trend Analysis'!F57/'FS &amp; Trend Analysis'!F$62</f>
        <v>2.2079812906258239E-2</v>
      </c>
      <c r="G53" s="107">
        <f>'FS &amp; Trend Analysis'!G57/'FS &amp; Trend Analysis'!G$62</f>
        <v>2.3596030069277255E-2</v>
      </c>
    </row>
    <row r="54" spans="1:8" x14ac:dyDescent="0.3">
      <c r="A54" s="38" t="s">
        <v>49</v>
      </c>
      <c r="B54" s="107">
        <f>'FS &amp; Trend Analysis'!B58/'FS &amp; Trend Analysis'!B$62</f>
        <v>3.606462781304097E-2</v>
      </c>
      <c r="C54" s="107">
        <f>'FS &amp; Trend Analysis'!C58/'FS &amp; Trend Analysis'!C$62</f>
        <v>2.9328510772133984E-2</v>
      </c>
      <c r="D54" s="107">
        <f>'FS &amp; Trend Analysis'!D58/'FS &amp; Trend Analysis'!D$62</f>
        <v>3.416241575753063E-2</v>
      </c>
      <c r="E54" s="107">
        <f>'FS &amp; Trend Analysis'!E58/'FS &amp; Trend Analysis'!E$62</f>
        <v>3.8813548697160284E-2</v>
      </c>
      <c r="F54" s="107">
        <f>'FS &amp; Trend Analysis'!F58/'FS &amp; Trend Analysis'!F$62</f>
        <v>5.5703951667450048E-2</v>
      </c>
      <c r="G54" s="107">
        <f>'FS &amp; Trend Analysis'!G58/'FS &amp; Trend Analysis'!G$62</f>
        <v>6.6071340834275044E-2</v>
      </c>
    </row>
    <row r="55" spans="1:8" x14ac:dyDescent="0.3">
      <c r="A55" s="38" t="s">
        <v>55</v>
      </c>
      <c r="B55" s="107">
        <f>'FS &amp; Trend Analysis'!B59/'FS &amp; Trend Analysis'!B$62</f>
        <v>4.1185804962492786E-2</v>
      </c>
      <c r="C55" s="107">
        <f>'FS &amp; Trend Analysis'!C59/'FS &amp; Trend Analysis'!C$62</f>
        <v>2.814908004403208E-2</v>
      </c>
      <c r="D55" s="107">
        <f>'FS &amp; Trend Analysis'!D59/'FS &amp; Trend Analysis'!D$62</f>
        <v>3.0159734892206875E-2</v>
      </c>
      <c r="E55" s="107">
        <f>'FS &amp; Trend Analysis'!E59/'FS &amp; Trend Analysis'!E$62</f>
        <v>2.9556804647178043E-2</v>
      </c>
      <c r="F55" s="107">
        <f>'FS &amp; Trend Analysis'!F59/'FS &amp; Trend Analysis'!F$62</f>
        <v>2.1827603205356018E-2</v>
      </c>
      <c r="G55" s="107">
        <f>'FS &amp; Trend Analysis'!G59/'FS &amp; Trend Analysis'!G$62</f>
        <v>3.9613324816980301E-2</v>
      </c>
    </row>
    <row r="56" spans="1:8" x14ac:dyDescent="0.3">
      <c r="A56" s="38" t="s">
        <v>56</v>
      </c>
      <c r="B56" s="107">
        <f>'FS &amp; Trend Analysis'!B60/'FS &amp; Trend Analysis'!B$62</f>
        <v>7.0830929024812458E-2</v>
      </c>
      <c r="C56" s="107">
        <f>'FS &amp; Trend Analysis'!C60/'FS &amp; Trend Analysis'!C$62</f>
        <v>7.6741626041830477E-2</v>
      </c>
      <c r="D56" s="107">
        <f>'FS &amp; Trend Analysis'!D60/'FS &amp; Trend Analysis'!D$62</f>
        <v>7.4654652418363929E-2</v>
      </c>
      <c r="E56" s="107">
        <f>'FS &amp; Trend Analysis'!E60/'FS &amp; Trend Analysis'!E$62</f>
        <v>7.8776354556282249E-2</v>
      </c>
      <c r="F56" s="107">
        <f>'FS &amp; Trend Analysis'!F60/'FS &amp; Trend Analysis'!F$62</f>
        <v>9.32373407926263E-2</v>
      </c>
      <c r="G56" s="107">
        <f>'FS &amp; Trend Analysis'!G60/'FS &amp; Trend Analysis'!G$62</f>
        <v>0.10559868324079989</v>
      </c>
    </row>
    <row r="57" spans="1:8" x14ac:dyDescent="0.3">
      <c r="A57" s="17" t="s">
        <v>57</v>
      </c>
      <c r="B57" s="107">
        <f>'FS &amp; Trend Analysis'!B61/'FS &amp; Trend Analysis'!B$62</f>
        <v>0.34600403923831508</v>
      </c>
      <c r="C57" s="107">
        <f>'FS &amp; Trend Analysis'!C61/'FS &amp; Trend Analysis'!C$62</f>
        <v>0.35296430256329614</v>
      </c>
      <c r="D57" s="107">
        <f>'FS &amp; Trend Analysis'!D61/'FS &amp; Trend Analysis'!D$62</f>
        <v>0.33769594519119789</v>
      </c>
      <c r="E57" s="107">
        <f>'FS &amp; Trend Analysis'!E61/'FS &amp; Trend Analysis'!E$62</f>
        <v>0.36925632613828696</v>
      </c>
      <c r="F57" s="107">
        <f>'FS &amp; Trend Analysis'!F61/'FS &amp; Trend Analysis'!F$62</f>
        <v>0.42193536553210514</v>
      </c>
      <c r="G57" s="107">
        <f>'FS &amp; Trend Analysis'!G61/'FS &amp; Trend Analysis'!G$62</f>
        <v>0.48081363926693849</v>
      </c>
    </row>
    <row r="58" spans="1:8" x14ac:dyDescent="0.3">
      <c r="A58" s="17" t="s">
        <v>58</v>
      </c>
      <c r="B58" s="107">
        <f>'FS &amp; Trend Analysis'!B62/'FS &amp; Trend Analysis'!B$62</f>
        <v>1</v>
      </c>
      <c r="C58" s="107">
        <f>'FS &amp; Trend Analysis'!C62/'FS &amp; Trend Analysis'!C$62</f>
        <v>1</v>
      </c>
      <c r="D58" s="107">
        <f>'FS &amp; Trend Analysis'!D62/'FS &amp; Trend Analysis'!D$62</f>
        <v>1</v>
      </c>
      <c r="E58" s="107">
        <f>'FS &amp; Trend Analysis'!E62/'FS &amp; Trend Analysis'!E$62</f>
        <v>1</v>
      </c>
      <c r="F58" s="107">
        <f>'FS &amp; Trend Analysis'!F62/'FS &amp; Trend Analysis'!F$62</f>
        <v>1</v>
      </c>
      <c r="G58" s="107">
        <f>'FS &amp; Trend Analysis'!G62/'FS &amp; Trend Analysis'!G$62</f>
        <v>1</v>
      </c>
    </row>
    <row r="59" spans="1:8" x14ac:dyDescent="0.3">
      <c r="A59" s="106"/>
      <c r="B59" s="104"/>
      <c r="C59" s="104"/>
      <c r="D59" s="104"/>
      <c r="E59" s="104"/>
      <c r="F59" s="104"/>
      <c r="G59" s="104"/>
    </row>
    <row r="60" spans="1:8" x14ac:dyDescent="0.3">
      <c r="A60" s="114" t="s">
        <v>59</v>
      </c>
      <c r="B60" s="115"/>
      <c r="C60" s="115"/>
      <c r="D60" s="115"/>
      <c r="E60" s="115"/>
      <c r="F60" s="115"/>
      <c r="G60" s="105"/>
    </row>
    <row r="61" spans="1:8" x14ac:dyDescent="0.3">
      <c r="A61" s="17" t="s">
        <v>60</v>
      </c>
      <c r="B61" s="107"/>
      <c r="C61" s="107"/>
      <c r="D61" s="107"/>
      <c r="E61" s="107"/>
      <c r="F61" s="107"/>
      <c r="G61" s="107"/>
    </row>
    <row r="62" spans="1:8" x14ac:dyDescent="0.3">
      <c r="A62" s="38" t="s">
        <v>61</v>
      </c>
      <c r="B62" s="107">
        <f>'FS &amp; Trend Analysis'!B65/'FS &amp; Trend Analysis'!B$93</f>
        <v>5.9939411425274092E-2</v>
      </c>
      <c r="C62" s="107">
        <f>'FS &amp; Trend Analysis'!C65/'FS &amp; Trend Analysis'!C$93</f>
        <v>6.6834407925774497E-2</v>
      </c>
      <c r="D62" s="107">
        <f>'FS &amp; Trend Analysis'!D65/'FS &amp; Trend Analysis'!D$93</f>
        <v>7.8570098678086023E-2</v>
      </c>
      <c r="E62" s="107">
        <f>'FS &amp; Trend Analysis'!E65/'FS &amp; Trend Analysis'!E$93</f>
        <v>0.11016891891891892</v>
      </c>
      <c r="F62" s="107">
        <f>'FS &amp; Trend Analysis'!F65/'FS &amp; Trend Analysis'!F$93</f>
        <v>0.13773258280119688</v>
      </c>
      <c r="G62" s="107">
        <f>'FS &amp; Trend Analysis'!G65/'FS &amp; Trend Analysis'!G$93</f>
        <v>0.1357048101017049</v>
      </c>
    </row>
    <row r="63" spans="1:8" x14ac:dyDescent="0.3">
      <c r="A63" s="38" t="s">
        <v>62</v>
      </c>
      <c r="B63" s="107">
        <f>'FS &amp; Trend Analysis'!B66/'FS &amp; Trend Analysis'!B$93</f>
        <v>2.7481246393537218E-2</v>
      </c>
      <c r="C63" s="107">
        <f>'FS &amp; Trend Analysis'!C66/'FS &amp; Trend Analysis'!C$93</f>
        <v>3.5933322849504637E-2</v>
      </c>
      <c r="D63" s="107">
        <f>'FS &amp; Trend Analysis'!D66/'FS &amp; Trend Analysis'!D$93</f>
        <v>2.1132005213181902E-2</v>
      </c>
      <c r="E63" s="107">
        <f>'FS &amp; Trend Analysis'!E66/'FS &amp; Trend Analysis'!E$93</f>
        <v>1.9436936936936936E-2</v>
      </c>
      <c r="F63" s="107">
        <f>'FS &amp; Trend Analysis'!F66/'FS &amp; Trend Analysis'!F$93</f>
        <v>2.9876070482763365E-2</v>
      </c>
      <c r="G63" s="107">
        <f>'FS &amp; Trend Analysis'!G66/'FS &amp; Trend Analysis'!G$93</f>
        <v>2.0193583255539722E-2</v>
      </c>
    </row>
    <row r="64" spans="1:8" x14ac:dyDescent="0.3">
      <c r="A64" s="38" t="s">
        <v>63</v>
      </c>
      <c r="B64" s="107">
        <f>'FS &amp; Trend Analysis'!B67/'FS &amp; Trend Analysis'!B$93</f>
        <v>5.0490478938257357E-3</v>
      </c>
      <c r="C64" s="107">
        <f>'FS &amp; Trend Analysis'!C67/'FS &amp; Trend Analysis'!C$93</f>
        <v>5.6612674948891334E-3</v>
      </c>
      <c r="D64" s="107">
        <f>'FS &amp; Trend Analysis'!D67/'FS &amp; Trend Analysis'!D$93</f>
        <v>3.4444237572146714E-3</v>
      </c>
      <c r="E64" s="107">
        <f>'FS &amp; Trend Analysis'!E67/'FS &amp; Trend Analysis'!E$93</f>
        <v>7.522522522522522E-3</v>
      </c>
      <c r="F64" s="107">
        <f>'FS &amp; Trend Analysis'!F67/'FS &amp; Trend Analysis'!F$93</f>
        <v>1.0054226329003635E-2</v>
      </c>
      <c r="G64" s="107">
        <f>'FS &amp; Trend Analysis'!G67/'FS &amp; Trend Analysis'!G$93</f>
        <v>9.5931803665307309E-3</v>
      </c>
    </row>
    <row r="65" spans="1:7" x14ac:dyDescent="0.3">
      <c r="A65" s="38" t="s">
        <v>64</v>
      </c>
      <c r="B65" s="107">
        <f>'FS &amp; Trend Analysis'!B68/'FS &amp; Trend Analysis'!B$93</f>
        <v>7.9342181188690134E-4</v>
      </c>
      <c r="C65" s="107">
        <f>'FS &amp; Trend Analysis'!C68/'FS &amp; Trend Analysis'!C$93</f>
        <v>1.8870891649630445E-3</v>
      </c>
      <c r="D65" s="107">
        <f>'FS &amp; Trend Analysis'!D68/'FS &amp; Trend Analysis'!D$93</f>
        <v>3.2582386892571215E-3</v>
      </c>
      <c r="E65" s="107">
        <f>'FS &amp; Trend Analysis'!E68/'FS &amp; Trend Analysis'!E$93</f>
        <v>3.5135135135135136E-3</v>
      </c>
      <c r="F65" s="107">
        <f>'FS &amp; Trend Analysis'!F68/'FS &amp; Trend Analysis'!F$93</f>
        <v>2.8202276817957742E-3</v>
      </c>
      <c r="G65" s="107">
        <f>'FS &amp; Trend Analysis'!G68/'FS &amp; Trend Analysis'!G$93</f>
        <v>3.8814916719893872E-3</v>
      </c>
    </row>
    <row r="66" spans="1:7" x14ac:dyDescent="0.3">
      <c r="A66" s="38" t="s">
        <v>65</v>
      </c>
      <c r="B66" s="107">
        <f>'FS &amp; Trend Analysis'!B69/'FS &amp; Trend Analysis'!B$93</f>
        <v>0</v>
      </c>
      <c r="C66" s="107">
        <f>'FS &amp; Trend Analysis'!C69/'FS &amp; Trend Analysis'!C$93</f>
        <v>0</v>
      </c>
      <c r="D66" s="107">
        <f>'FS &amp; Trend Analysis'!D69/'FS &amp; Trend Analysis'!D$93</f>
        <v>0</v>
      </c>
      <c r="E66" s="107">
        <f>'FS &amp; Trend Analysis'!E69/'FS &amp; Trend Analysis'!E$93</f>
        <v>1.8018018018018018E-3</v>
      </c>
      <c r="F66" s="107">
        <f>'FS &amp; Trend Analysis'!F69/'FS &amp; Trend Analysis'!F$93</f>
        <v>9.1714721359212163E-4</v>
      </c>
      <c r="G66" s="107">
        <f>'FS &amp; Trend Analysis'!G69/'FS &amp; Trend Analysis'!G$93</f>
        <v>1.0317889254655333E-3</v>
      </c>
    </row>
    <row r="67" spans="1:7" x14ac:dyDescent="0.3">
      <c r="A67" s="38" t="s">
        <v>66</v>
      </c>
      <c r="B67" s="107">
        <f>'FS &amp; Trend Analysis'!B70/'FS &amp; Trend Analysis'!B$93</f>
        <v>4.1834968263127527E-3</v>
      </c>
      <c r="C67" s="107">
        <f>'FS &amp; Trend Analysis'!C70/'FS &amp; Trend Analysis'!C$93</f>
        <v>5.8971536405095139E-3</v>
      </c>
      <c r="D67" s="107">
        <f>'FS &amp; Trend Analysis'!D70/'FS &amp; Trend Analysis'!D$93</f>
        <v>1.2939862223049712E-2</v>
      </c>
      <c r="E67" s="107">
        <f>'FS &amp; Trend Analysis'!E70/'FS &amp; Trend Analysis'!E$93</f>
        <v>2.8490990990990991E-3</v>
      </c>
      <c r="F67" s="107">
        <f>'FS &amp; Trend Analysis'!F70/'FS &amp; Trend Analysis'!F$93</f>
        <v>0</v>
      </c>
      <c r="G67" s="107">
        <f>'FS &amp; Trend Analysis'!G70/'FS &amp; Trend Analysis'!G$93</f>
        <v>0</v>
      </c>
    </row>
    <row r="68" spans="1:7" x14ac:dyDescent="0.3">
      <c r="A68" s="42" t="s">
        <v>67</v>
      </c>
      <c r="B68" s="107">
        <f>'FS &amp; Trend Analysis'!B71/'FS &amp; Trend Analysis'!B$93</f>
        <v>0</v>
      </c>
      <c r="C68" s="107">
        <f>'FS &amp; Trend Analysis'!C71/'FS &amp; Trend Analysis'!C$93</f>
        <v>0</v>
      </c>
      <c r="D68" s="107">
        <f>'FS &amp; Trend Analysis'!D71/'FS &amp; Trend Analysis'!D$93</f>
        <v>0</v>
      </c>
      <c r="E68" s="107">
        <f>'FS &amp; Trend Analysis'!E71/'FS &amp; Trend Analysis'!E$93</f>
        <v>0</v>
      </c>
      <c r="F68" s="107">
        <f>'FS &amp; Trend Analysis'!F71/'FS &amp; Trend Analysis'!F$93</f>
        <v>0</v>
      </c>
      <c r="G68" s="107">
        <f>'FS &amp; Trend Analysis'!G71/'FS &amp; Trend Analysis'!G$93</f>
        <v>0</v>
      </c>
    </row>
    <row r="69" spans="1:7" ht="28.8" x14ac:dyDescent="0.3">
      <c r="A69" s="38" t="s">
        <v>68</v>
      </c>
      <c r="B69" s="107">
        <f>'FS &amp; Trend Analysis'!B72/'FS &amp; Trend Analysis'!B$93</f>
        <v>2.1710905943450664E-2</v>
      </c>
      <c r="C69" s="107">
        <f>'FS &amp; Trend Analysis'!C72/'FS &amp; Trend Analysis'!C$93</f>
        <v>1.8399119358389684E-2</v>
      </c>
      <c r="D69" s="107">
        <f>'FS &amp; Trend Analysis'!D72/'FS &amp; Trend Analysis'!D$93</f>
        <v>2.0852727611245576E-2</v>
      </c>
      <c r="E69" s="107">
        <f>'FS &amp; Trend Analysis'!E72/'FS &amp; Trend Analysis'!E$93</f>
        <v>2.3186936936936936E-2</v>
      </c>
      <c r="F69" s="107">
        <f>'FS &amp; Trend Analysis'!F72/'FS &amp; Trend Analysis'!F$93</f>
        <v>2.48661538285164E-2</v>
      </c>
      <c r="G69" s="107">
        <f>'FS &amp; Trend Analysis'!G72/'FS &amp; Trend Analysis'!G$93</f>
        <v>2.4824350218640982E-2</v>
      </c>
    </row>
    <row r="70" spans="1:7" x14ac:dyDescent="0.3">
      <c r="A70" s="38" t="s">
        <v>70</v>
      </c>
      <c r="B70" s="107">
        <f>'FS &amp; Trend Analysis'!B73/'FS &amp; Trend Analysis'!B$93</f>
        <v>2.5317368724754759E-2</v>
      </c>
      <c r="C70" s="107">
        <f>'FS &amp; Trend Analysis'!C73/'FS &amp; Trend Analysis'!C$93</f>
        <v>2.6733763170309798E-2</v>
      </c>
      <c r="D70" s="107">
        <f>'FS &amp; Trend Analysis'!D73/'FS &amp; Trend Analysis'!D$93</f>
        <v>3.3978774902252838E-2</v>
      </c>
      <c r="E70" s="107">
        <f>'FS &amp; Trend Analysis'!E73/'FS &amp; Trend Analysis'!E$93</f>
        <v>0</v>
      </c>
      <c r="F70" s="107">
        <f>'FS &amp; Trend Analysis'!F73/'FS &amp; Trend Analysis'!F$93</f>
        <v>0</v>
      </c>
      <c r="G70" s="107">
        <f>'FS &amp; Trend Analysis'!G73/'FS &amp; Trend Analysis'!G$93</f>
        <v>0</v>
      </c>
    </row>
    <row r="71" spans="1:7" x14ac:dyDescent="0.3">
      <c r="A71" s="38" t="s">
        <v>71</v>
      </c>
      <c r="B71" s="107">
        <f>'FS &amp; Trend Analysis'!B74/'FS &amp; Trend Analysis'!B$93</f>
        <v>0</v>
      </c>
      <c r="C71" s="107">
        <f>'FS &amp; Trend Analysis'!C74/'FS &amp; Trend Analysis'!C$93</f>
        <v>0</v>
      </c>
      <c r="D71" s="107">
        <f>'FS &amp; Trend Analysis'!D74/'FS &amp; Trend Analysis'!D$93</f>
        <v>0</v>
      </c>
      <c r="E71" s="107">
        <f>'FS &amp; Trend Analysis'!E74/'FS &amp; Trend Analysis'!E$93</f>
        <v>0</v>
      </c>
      <c r="F71" s="107">
        <f>'FS &amp; Trend Analysis'!F74/'FS &amp; Trend Analysis'!F$93</f>
        <v>0</v>
      </c>
      <c r="G71" s="107">
        <f>'FS &amp; Trend Analysis'!G74/'FS &amp; Trend Analysis'!G$93</f>
        <v>2.1397337001916174E-2</v>
      </c>
    </row>
    <row r="72" spans="1:7" x14ac:dyDescent="0.3">
      <c r="A72" s="38" t="s">
        <v>72</v>
      </c>
      <c r="B72" s="107">
        <f>'FS &amp; Trend Analysis'!B75/'FS &amp; Trend Analysis'!B$93</f>
        <v>2.2215810732833238E-2</v>
      </c>
      <c r="C72" s="107">
        <f>'FS &amp; Trend Analysis'!C75/'FS &amp; Trend Analysis'!C$93</f>
        <v>3.0193426639408712E-2</v>
      </c>
      <c r="D72" s="107">
        <f>'FS &amp; Trend Analysis'!D75/'FS &amp; Trend Analysis'!D$93</f>
        <v>1.0426363805622788E-2</v>
      </c>
      <c r="E72" s="107">
        <f>'FS &amp; Trend Analysis'!E75/'FS &amp; Trend Analysis'!E$93</f>
        <v>1.6463963963963962E-2</v>
      </c>
      <c r="F72" s="107">
        <f>'FS &amp; Trend Analysis'!F75/'FS &amp; Trend Analysis'!F$93</f>
        <v>1.6978687791624151E-2</v>
      </c>
      <c r="G72" s="107">
        <f>'FS &amp; Trend Analysis'!G75/'FS &amp; Trend Analysis'!G$93</f>
        <v>9.7282955829607418E-3</v>
      </c>
    </row>
    <row r="73" spans="1:7" x14ac:dyDescent="0.3">
      <c r="A73" s="38" t="s">
        <v>73</v>
      </c>
      <c r="B73" s="107">
        <f>'FS &amp; Trend Analysis'!B76/'FS &amp; Trend Analysis'!B$93</f>
        <v>2.048470859780727E-2</v>
      </c>
      <c r="C73" s="107">
        <f>'FS &amp; Trend Analysis'!C76/'FS &amp; Trend Analysis'!C$93</f>
        <v>1.2187450857052995E-2</v>
      </c>
      <c r="D73" s="107">
        <f>'FS &amp; Trend Analysis'!D76/'FS &amp; Trend Analysis'!D$93</f>
        <v>1.6477378514243159E-2</v>
      </c>
      <c r="E73" s="107">
        <f>'FS &amp; Trend Analysis'!E76/'FS &amp; Trend Analysis'!E$93</f>
        <v>1.7713963963963967E-2</v>
      </c>
      <c r="F73" s="107">
        <f>'FS &amp; Trend Analysis'!F76/'FS &amp; Trend Analysis'!F$93</f>
        <v>1.6371077762619372E-2</v>
      </c>
      <c r="G73" s="107">
        <f>'FS &amp; Trend Analysis'!G76/'FS &amp; Trend Analysis'!G$93</f>
        <v>2.1016557755613421E-2</v>
      </c>
    </row>
    <row r="74" spans="1:7" x14ac:dyDescent="0.3">
      <c r="A74" s="38" t="s">
        <v>74</v>
      </c>
      <c r="B74" s="107">
        <f>'FS &amp; Trend Analysis'!B77/'FS &amp; Trend Analysis'!B$93</f>
        <v>8.5905943450663588E-2</v>
      </c>
      <c r="C74" s="107">
        <f>'FS &amp; Trend Analysis'!C77/'FS &amp; Trend Analysis'!C$93</f>
        <v>8.60984431514389E-2</v>
      </c>
      <c r="D74" s="107">
        <f>'FS &amp; Trend Analysis'!D77/'FS &amp; Trend Analysis'!D$93</f>
        <v>0.12548873580338857</v>
      </c>
      <c r="E74" s="107">
        <f>'FS &amp; Trend Analysis'!E77/'FS &amp; Trend Analysis'!E$93</f>
        <v>0.1476801801801802</v>
      </c>
      <c r="F74" s="107">
        <f>'FS &amp; Trend Analysis'!F77/'FS &amp; Trend Analysis'!F$93</f>
        <v>0.13856947963359967</v>
      </c>
      <c r="G74" s="107">
        <f>'FS &amp; Trend Analysis'!G77/'FS &amp; Trend Analysis'!G$93</f>
        <v>0.1273399498845379</v>
      </c>
    </row>
    <row r="75" spans="1:7" x14ac:dyDescent="0.3">
      <c r="A75" s="38" t="s">
        <v>75</v>
      </c>
      <c r="B75" s="107">
        <f>'FS &amp; Trend Analysis'!B78/'FS &amp; Trend Analysis'!B$93</f>
        <v>1.9763416041546453E-2</v>
      </c>
      <c r="C75" s="107">
        <f>'FS &amp; Trend Analysis'!C78/'FS &amp; Trend Analysis'!C$93</f>
        <v>1.6905173769460605E-2</v>
      </c>
      <c r="D75" s="107">
        <f>'FS &amp; Trend Analysis'!D78/'FS &amp; Trend Analysis'!D$93</f>
        <v>2.0107987339415379E-2</v>
      </c>
      <c r="E75" s="107">
        <f>'FS &amp; Trend Analysis'!E78/'FS &amp; Trend Analysis'!E$93</f>
        <v>2.6936936936936936E-2</v>
      </c>
      <c r="F75" s="107">
        <f>'FS &amp; Trend Analysis'!F78/'FS &amp; Trend Analysis'!F$93</f>
        <v>2.684948467790936E-2</v>
      </c>
      <c r="G75" s="107">
        <f>'FS &amp; Trend Analysis'!G78/'FS &amp; Trend Analysis'!G$93</f>
        <v>3.5793249152459093E-2</v>
      </c>
    </row>
    <row r="76" spans="1:7" x14ac:dyDescent="0.3">
      <c r="A76" s="17" t="s">
        <v>76</v>
      </c>
      <c r="B76" s="107">
        <f>'FS &amp; Trend Analysis'!B79/'FS &amp; Trend Analysis'!B$93</f>
        <v>0.29284477784189267</v>
      </c>
      <c r="C76" s="107">
        <f>'FS &amp; Trend Analysis'!C79/'FS &amp; Trend Analysis'!C$93</f>
        <v>0.30673061802170154</v>
      </c>
      <c r="D76" s="107">
        <f>'FS &amp; Trend Analysis'!D79/'FS &amp; Trend Analysis'!D$93</f>
        <v>0.34667659653695776</v>
      </c>
      <c r="E76" s="107">
        <f>'FS &amp; Trend Analysis'!E79/'FS &amp; Trend Analysis'!E$93</f>
        <v>0.37727477477477478</v>
      </c>
      <c r="F76" s="107">
        <f>'FS &amp; Trend Analysis'!F79/'FS &amp; Trend Analysis'!F$93</f>
        <v>0.40503513820262071</v>
      </c>
      <c r="G76" s="107">
        <f>'FS &amp; Trend Analysis'!G79/'FS &amp; Trend Analysis'!G$93</f>
        <v>0.41050459391735861</v>
      </c>
    </row>
    <row r="77" spans="1:7" x14ac:dyDescent="0.3">
      <c r="A77" s="10"/>
      <c r="B77" s="107">
        <f>'FS &amp; Trend Analysis'!B80/'FS &amp; Trend Analysis'!B$93</f>
        <v>0</v>
      </c>
      <c r="C77" s="107">
        <f>'FS &amp; Trend Analysis'!C80/'FS &amp; Trend Analysis'!C$93</f>
        <v>0</v>
      </c>
      <c r="D77" s="107">
        <f>'FS &amp; Trend Analysis'!D80/'FS &amp; Trend Analysis'!D$93</f>
        <v>0</v>
      </c>
      <c r="E77" s="107">
        <f>'FS &amp; Trend Analysis'!E80/'FS &amp; Trend Analysis'!E$93</f>
        <v>0</v>
      </c>
      <c r="F77" s="107">
        <f>'FS &amp; Trend Analysis'!F80/'FS &amp; Trend Analysis'!F$93</f>
        <v>0</v>
      </c>
      <c r="G77" s="107">
        <f>'FS &amp; Trend Analysis'!G80/'FS &amp; Trend Analysis'!G$93</f>
        <v>0</v>
      </c>
    </row>
    <row r="78" spans="1:7" x14ac:dyDescent="0.3">
      <c r="A78" s="17" t="s">
        <v>77</v>
      </c>
      <c r="B78" s="107">
        <f>'FS &amp; Trend Analysis'!B81/'FS &amp; Trend Analysis'!B$93</f>
        <v>0</v>
      </c>
      <c r="C78" s="107">
        <f>'FS &amp; Trend Analysis'!C81/'FS &amp; Trend Analysis'!C$93</f>
        <v>0</v>
      </c>
      <c r="D78" s="107">
        <f>'FS &amp; Trend Analysis'!D81/'FS &amp; Trend Analysis'!D$93</f>
        <v>0</v>
      </c>
      <c r="E78" s="107">
        <f>'FS &amp; Trend Analysis'!E81/'FS &amp; Trend Analysis'!E$93</f>
        <v>0</v>
      </c>
      <c r="F78" s="107">
        <f>'FS &amp; Trend Analysis'!F81/'FS &amp; Trend Analysis'!F$93</f>
        <v>0</v>
      </c>
      <c r="G78" s="107">
        <f>'FS &amp; Trend Analysis'!G81/'FS &amp; Trend Analysis'!G$93</f>
        <v>0</v>
      </c>
    </row>
    <row r="79" spans="1:7" x14ac:dyDescent="0.3">
      <c r="A79" s="38" t="s">
        <v>78</v>
      </c>
      <c r="B79" s="107">
        <f>'FS &amp; Trend Analysis'!B82/'FS &amp; Trend Analysis'!B$93</f>
        <v>0.19179169070975188</v>
      </c>
      <c r="C79" s="107">
        <f>'FS &amp; Trend Analysis'!C82/'FS &amp; Trend Analysis'!C$93</f>
        <v>0.18123918855165908</v>
      </c>
      <c r="D79" s="107">
        <f>'FS &amp; Trend Analysis'!D82/'FS &amp; Trend Analysis'!D$93</f>
        <v>0.19204989759821262</v>
      </c>
      <c r="E79" s="107">
        <f>'FS &amp; Trend Analysis'!E82/'FS &amp; Trend Analysis'!E$93</f>
        <v>0.25112612612612611</v>
      </c>
      <c r="F79" s="107">
        <f>'FS &amp; Trend Analysis'!F82/'FS &amp; Trend Analysis'!F$93</f>
        <v>0.24812271429717864</v>
      </c>
      <c r="G79" s="107">
        <f>'FS &amp; Trend Analysis'!G82/'FS &amp; Trend Analysis'!G$93</f>
        <v>0.24333022158895493</v>
      </c>
    </row>
    <row r="80" spans="1:7" x14ac:dyDescent="0.3">
      <c r="A80" s="42" t="s">
        <v>67</v>
      </c>
      <c r="B80" s="107">
        <f>'FS &amp; Trend Analysis'!B83/'FS &amp; Trend Analysis'!B$93</f>
        <v>0</v>
      </c>
      <c r="C80" s="107">
        <f>'FS &amp; Trend Analysis'!C83/'FS &amp; Trend Analysis'!C$93</f>
        <v>0</v>
      </c>
      <c r="D80" s="107">
        <f>'FS &amp; Trend Analysis'!D83/'FS &amp; Trend Analysis'!D$93</f>
        <v>0</v>
      </c>
      <c r="E80" s="107">
        <f>'FS &amp; Trend Analysis'!E83/'FS &amp; Trend Analysis'!E$93</f>
        <v>0</v>
      </c>
      <c r="F80" s="107">
        <f>'FS &amp; Trend Analysis'!F83/'FS &amp; Trend Analysis'!F$93</f>
        <v>0</v>
      </c>
      <c r="G80" s="107">
        <f>'FS &amp; Trend Analysis'!G83/'FS &amp; Trend Analysis'!G$93</f>
        <v>0</v>
      </c>
    </row>
    <row r="81" spans="1:7" x14ac:dyDescent="0.3">
      <c r="A81" s="38" t="s">
        <v>79</v>
      </c>
      <c r="B81" s="107">
        <f>'FS &amp; Trend Analysis'!B84/'FS &amp; Trend Analysis'!B$93</f>
        <v>8.316503173687248E-2</v>
      </c>
      <c r="C81" s="107">
        <f>'FS &amp; Trend Analysis'!C84/'FS &amp; Trend Analysis'!C$93</f>
        <v>6.8642868375530741E-2</v>
      </c>
      <c r="D81" s="107">
        <f>'FS &amp; Trend Analysis'!D84/'FS &amp; Trend Analysis'!D$93</f>
        <v>5.5762427853286167E-2</v>
      </c>
      <c r="E81" s="107">
        <f>'FS &amp; Trend Analysis'!E84/'FS &amp; Trend Analysis'!E$93</f>
        <v>2.8806306306306307E-2</v>
      </c>
      <c r="F81" s="107">
        <f>'FS &amp; Trend Analysis'!F84/'FS &amp; Trend Analysis'!F$93</f>
        <v>2.5462299517351277E-2</v>
      </c>
      <c r="G81" s="107">
        <f>'FS &amp; Trend Analysis'!G84/'FS &amp; Trend Analysis'!G$93</f>
        <v>0</v>
      </c>
    </row>
    <row r="82" spans="1:7" x14ac:dyDescent="0.3">
      <c r="A82" s="38" t="s">
        <v>70</v>
      </c>
      <c r="B82" s="107">
        <f>'FS &amp; Trend Analysis'!B85/'FS &amp; Trend Analysis'!B$93</f>
        <v>0.2590882862088863</v>
      </c>
      <c r="C82" s="107">
        <f>'FS &amp; Trend Analysis'!C85/'FS &amp; Trend Analysis'!C$93</f>
        <v>0.25853121559993708</v>
      </c>
      <c r="D82" s="107">
        <f>'FS &amp; Trend Analysis'!D85/'FS &amp; Trend Analysis'!D$93</f>
        <v>0.25721467138335508</v>
      </c>
      <c r="E82" s="107">
        <f>'FS &amp; Trend Analysis'!E85/'FS &amp; Trend Analysis'!E$93</f>
        <v>0.26833333333333337</v>
      </c>
      <c r="F82" s="107">
        <f>'FS &amp; Trend Analysis'!F85/'FS &amp; Trend Analysis'!F$93</f>
        <v>0.2639205750513029</v>
      </c>
      <c r="G82" s="107">
        <f>'FS &amp; Trend Analysis'!G85/'FS &amp; Trend Analysis'!G$93</f>
        <v>0.26532943546405929</v>
      </c>
    </row>
    <row r="83" spans="1:7" x14ac:dyDescent="0.3">
      <c r="A83" s="38" t="s">
        <v>80</v>
      </c>
      <c r="B83" s="107">
        <f>'FS &amp; Trend Analysis'!B86/'FS &amp; Trend Analysis'!B$93</f>
        <v>6.167051356030006E-2</v>
      </c>
      <c r="C83" s="107">
        <f>'FS &amp; Trend Analysis'!C86/'FS &amp; Trend Analysis'!C$93</f>
        <v>9.0423022487812546E-2</v>
      </c>
      <c r="D83" s="107">
        <f>'FS &amp; Trend Analysis'!D86/'FS &amp; Trend Analysis'!D$93</f>
        <v>9.5047477192329172E-2</v>
      </c>
      <c r="E83" s="107">
        <f>'FS &amp; Trend Analysis'!E86/'FS &amp; Trend Analysis'!E$93</f>
        <v>9.1666666666666667E-3</v>
      </c>
      <c r="F83" s="107">
        <f>'FS &amp; Trend Analysis'!F86/'FS &amp; Trend Analysis'!F$93</f>
        <v>3.0953718458734104E-3</v>
      </c>
      <c r="G83" s="107">
        <f>'FS &amp; Trend Analysis'!G86/'FS &amp; Trend Analysis'!G$93</f>
        <v>6.0433351348695525E-3</v>
      </c>
    </row>
    <row r="84" spans="1:7" x14ac:dyDescent="0.3">
      <c r="A84" s="38" t="s">
        <v>81</v>
      </c>
      <c r="B84" s="107">
        <f>'FS &amp; Trend Analysis'!B87/'FS &amp; Trend Analysis'!B$93</f>
        <v>7.4076745527986154E-2</v>
      </c>
      <c r="C84" s="107">
        <f>'FS &amp; Trend Analysis'!C87/'FS &amp; Trend Analysis'!C$93</f>
        <v>4.8985689573832362E-2</v>
      </c>
      <c r="D84" s="107">
        <f>'FS &amp; Trend Analysis'!D87/'FS &amp; Trend Analysis'!D$93</f>
        <v>1.7501396388009682E-2</v>
      </c>
      <c r="E84" s="107">
        <f>'FS &amp; Trend Analysis'!E87/'FS &amp; Trend Analysis'!E$93</f>
        <v>8.6486486486486488E-3</v>
      </c>
      <c r="F84" s="107">
        <f>'FS &amp; Trend Analysis'!F87/'FS &amp; Trend Analysis'!F$93</f>
        <v>6.6493172985428812E-4</v>
      </c>
      <c r="G84" s="107">
        <f>'FS &amp; Trend Analysis'!G87/'FS &amp; Trend Analysis'!G$93</f>
        <v>7.4927529111187526E-4</v>
      </c>
    </row>
    <row r="85" spans="1:7" x14ac:dyDescent="0.3">
      <c r="A85" s="38" t="s">
        <v>71</v>
      </c>
      <c r="B85" s="107">
        <f>'FS &amp; Trend Analysis'!B88/'FS &amp; Trend Analysis'!B$93</f>
        <v>7.2129255626081934E-5</v>
      </c>
      <c r="C85" s="107">
        <f>'FS &amp; Trend Analysis'!C88/'FS &amp; Trend Analysis'!C$93</f>
        <v>1.7298317345494575E-3</v>
      </c>
      <c r="D85" s="107">
        <f>'FS &amp; Trend Analysis'!D88/'FS &amp; Trend Analysis'!D$93</f>
        <v>9.3092533978774903E-4</v>
      </c>
      <c r="E85" s="107">
        <f>'FS &amp; Trend Analysis'!E88/'FS &amp; Trend Analysis'!E$93</f>
        <v>1.2240990990990991E-2</v>
      </c>
      <c r="F85" s="107">
        <f>'FS &amp; Trend Analysis'!F88/'FS &amp; Trend Analysis'!F$93</f>
        <v>1.591250415582331E-2</v>
      </c>
      <c r="G85" s="107">
        <f>'FS &amp; Trend Analysis'!G88/'FS &amp; Trend Analysis'!G$93</f>
        <v>1.2344617501105487E-2</v>
      </c>
    </row>
    <row r="86" spans="1:7" x14ac:dyDescent="0.3">
      <c r="A86" s="38" t="s">
        <v>72</v>
      </c>
      <c r="B86" s="107">
        <f>'FS &amp; Trend Analysis'!B89/'FS &amp; Trend Analysis'!B$93</f>
        <v>4.2556260819388344E-3</v>
      </c>
      <c r="C86" s="107">
        <f>'FS &amp; Trend Analysis'!C89/'FS &amp; Trend Analysis'!C$93</f>
        <v>2.0364837238559523E-2</v>
      </c>
      <c r="D86" s="107">
        <f>'FS &amp; Trend Analysis'!D89/'FS &amp; Trend Analysis'!D$93</f>
        <v>3.7237013591509961E-3</v>
      </c>
      <c r="E86" s="107">
        <f>'FS &amp; Trend Analysis'!E89/'FS &amp; Trend Analysis'!E$93</f>
        <v>1.5371621621621622E-2</v>
      </c>
      <c r="F86" s="107">
        <f>'FS &amp; Trend Analysis'!F89/'FS &amp; Trend Analysis'!F$93</f>
        <v>9.2402581769406248E-3</v>
      </c>
      <c r="G86" s="107">
        <f>'FS &amp; Trend Analysis'!G89/'FS &amp; Trend Analysis'!G$93</f>
        <v>2.5143713457475552E-2</v>
      </c>
    </row>
    <row r="87" spans="1:7" x14ac:dyDescent="0.3">
      <c r="A87" s="38" t="s">
        <v>82</v>
      </c>
      <c r="B87" s="107">
        <f>'FS &amp; Trend Analysis'!B90/'FS &amp; Trend Analysis'!B$93</f>
        <v>2.8202538949798038E-2</v>
      </c>
      <c r="C87" s="107">
        <f>'FS &amp; Trend Analysis'!C90/'FS &amp; Trend Analysis'!C$93</f>
        <v>2.3352728416417674E-2</v>
      </c>
      <c r="D87" s="107">
        <f>'FS &amp; Trend Analysis'!D90/'FS &amp; Trend Analysis'!D$93</f>
        <v>3.1092906348910817E-2</v>
      </c>
      <c r="E87" s="107">
        <f>'FS &amp; Trend Analysis'!E90/'FS &amp; Trend Analysis'!E$93</f>
        <v>2.9031531531531533E-2</v>
      </c>
      <c r="F87" s="107">
        <f>'FS &amp; Trend Analysis'!F90/'FS &amp; Trend Analysis'!F$93</f>
        <v>2.8546207023054784E-2</v>
      </c>
      <c r="G87" s="107">
        <f>'FS &amp; Trend Analysis'!G90/'FS &amp; Trend Analysis'!G$93</f>
        <v>3.6554807645064608E-2</v>
      </c>
    </row>
    <row r="88" spans="1:7" x14ac:dyDescent="0.3">
      <c r="A88" s="38" t="s">
        <v>83</v>
      </c>
      <c r="B88" s="107">
        <f>'FS &amp; Trend Analysis'!B91/'FS &amp; Trend Analysis'!B$93</f>
        <v>4.8326601269474898E-3</v>
      </c>
      <c r="C88" s="107">
        <f>'FS &amp; Trend Analysis'!C91/'FS &amp; Trend Analysis'!C$93</f>
        <v>0</v>
      </c>
      <c r="D88" s="107">
        <f>'FS &amp; Trend Analysis'!D91/'FS &amp; Trend Analysis'!D$93</f>
        <v>0</v>
      </c>
      <c r="E88" s="107">
        <f>'FS &amp; Trend Analysis'!E91/'FS &amp; Trend Analysis'!E$93</f>
        <v>0</v>
      </c>
      <c r="F88" s="107">
        <f>'FS &amp; Trend Analysis'!F91/'FS &amp; Trend Analysis'!F$93</f>
        <v>0</v>
      </c>
      <c r="G88" s="107">
        <f>'FS &amp; Trend Analysis'!G91/'FS &amp; Trend Analysis'!G$93</f>
        <v>0</v>
      </c>
    </row>
    <row r="89" spans="1:7" x14ac:dyDescent="0.3">
      <c r="A89" s="17" t="s">
        <v>84</v>
      </c>
      <c r="B89" s="107">
        <f>'FS &amp; Trend Analysis'!B92/'FS &amp; Trend Analysis'!B$93</f>
        <v>0.70715522215810733</v>
      </c>
      <c r="C89" s="107">
        <f>'FS &amp; Trend Analysis'!C92/'FS &amp; Trend Analysis'!C$93</f>
        <v>0.69326938197829846</v>
      </c>
      <c r="D89" s="107">
        <f>'FS &amp; Trend Analysis'!D92/'FS &amp; Trend Analysis'!D$93</f>
        <v>0.6533234034630423</v>
      </c>
      <c r="E89" s="107">
        <f>'FS &amp; Trend Analysis'!E92/'FS &amp; Trend Analysis'!E$93</f>
        <v>0.62272522522522522</v>
      </c>
      <c r="F89" s="107">
        <f>'FS &amp; Trend Analysis'!F92/'FS &amp; Trend Analysis'!F$93</f>
        <v>0.59496486179737929</v>
      </c>
      <c r="G89" s="107">
        <f>'FS &amp; Trend Analysis'!G92/'FS &amp; Trend Analysis'!G$93</f>
        <v>0.58949540608264139</v>
      </c>
    </row>
    <row r="90" spans="1:7" x14ac:dyDescent="0.3">
      <c r="A90" s="17" t="s">
        <v>85</v>
      </c>
      <c r="B90" s="107">
        <f>'FS &amp; Trend Analysis'!B93/'FS &amp; Trend Analysis'!B$93</f>
        <v>1</v>
      </c>
      <c r="C90" s="107">
        <f>'FS &amp; Trend Analysis'!C93/'FS &amp; Trend Analysis'!C$93</f>
        <v>1</v>
      </c>
      <c r="D90" s="107">
        <f>'FS &amp; Trend Analysis'!D93/'FS &amp; Trend Analysis'!D$93</f>
        <v>1</v>
      </c>
      <c r="E90" s="107">
        <f>'FS &amp; Trend Analysis'!E93/'FS &amp; Trend Analysis'!E$93</f>
        <v>1</v>
      </c>
      <c r="F90" s="107">
        <f>'FS &amp; Trend Analysis'!F93/'FS &amp; Trend Analysis'!F$93</f>
        <v>1</v>
      </c>
      <c r="G90" s="107">
        <f>'FS &amp; Trend Analysis'!G93/'FS &amp; Trend Analysis'!G$93</f>
        <v>1</v>
      </c>
    </row>
  </sheetData>
  <mergeCells count="2">
    <mergeCell ref="A35:F35"/>
    <mergeCell ref="A60:F6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95"/>
  <sheetViews>
    <sheetView topLeftCell="A89" zoomScaleNormal="100" workbookViewId="0">
      <selection activeCell="C71" sqref="C71:D71"/>
    </sheetView>
  </sheetViews>
  <sheetFormatPr defaultColWidth="8.6640625" defaultRowHeight="14.4" x14ac:dyDescent="0.3"/>
  <cols>
    <col min="2" max="2" width="38.88671875" customWidth="1"/>
    <col min="3" max="3" width="16.44140625" customWidth="1"/>
    <col min="4" max="4" width="14.88671875" customWidth="1"/>
    <col min="5" max="7" width="14.109375" customWidth="1"/>
  </cols>
  <sheetData>
    <row r="2" spans="2:7" x14ac:dyDescent="0.3">
      <c r="B2" s="77" t="s">
        <v>133</v>
      </c>
      <c r="C2" s="78"/>
      <c r="D2" s="78"/>
      <c r="E2" s="78"/>
      <c r="F2" s="78"/>
      <c r="G2" s="78"/>
    </row>
    <row r="3" spans="2:7" x14ac:dyDescent="0.3">
      <c r="B3" s="79"/>
      <c r="C3" s="79"/>
      <c r="D3" s="79"/>
      <c r="E3" s="79"/>
      <c r="F3" s="79"/>
      <c r="G3" s="79"/>
    </row>
    <row r="4" spans="2:7" x14ac:dyDescent="0.3">
      <c r="B4" s="77" t="s">
        <v>134</v>
      </c>
      <c r="C4" s="78"/>
      <c r="D4" s="78"/>
      <c r="E4" s="78"/>
      <c r="F4" s="78"/>
      <c r="G4" s="78"/>
    </row>
    <row r="5" spans="2:7" x14ac:dyDescent="0.3">
      <c r="B5" s="80" t="s">
        <v>4</v>
      </c>
      <c r="C5" s="81">
        <v>46112</v>
      </c>
      <c r="D5" s="81">
        <v>45747</v>
      </c>
      <c r="E5" s="81">
        <v>45382</v>
      </c>
      <c r="F5" s="81">
        <v>45016</v>
      </c>
      <c r="G5" s="81">
        <v>44651</v>
      </c>
    </row>
    <row r="6" spans="2:7" x14ac:dyDescent="0.3">
      <c r="B6" s="10" t="s">
        <v>5</v>
      </c>
      <c r="C6" s="108">
        <f>('FS &amp; Trend Analysis'!B6-'FS &amp; Trend Analysis'!C6)/'FS &amp; Trend Analysis'!C6</f>
        <v>3.7378640776699029E-2</v>
      </c>
      <c r="D6" s="108">
        <f>('FS &amp; Trend Analysis'!C6-'FS &amp; Trend Analysis'!D6)/'FS &amp; Trend Analysis'!D6</f>
        <v>5.4787506400409629E-2</v>
      </c>
      <c r="E6" s="108">
        <f>('FS &amp; Trend Analysis'!D6-'FS &amp; Trend Analysis'!E6)/'FS &amp; Trend Analysis'!E6</f>
        <v>-7.9374864022046562E-2</v>
      </c>
      <c r="F6" s="108">
        <f>('FS &amp; Trend Analysis'!E6-'FS &amp; Trend Analysis'!F6)/'FS &amp; Trend Analysis'!F6</f>
        <v>-0.10382478146427063</v>
      </c>
      <c r="G6" s="108">
        <f>('FS &amp; Trend Analysis'!F6-'FS &amp; Trend Analysis'!G6)/'FS &amp; Trend Analysis'!G6</f>
        <v>0.13234276798987352</v>
      </c>
    </row>
    <row r="7" spans="2:7" x14ac:dyDescent="0.3">
      <c r="B7" s="10" t="s">
        <v>6</v>
      </c>
      <c r="C7" s="108">
        <f>('FS &amp; Trend Analysis'!B7-'FS &amp; Trend Analysis'!C7)/'FS &amp; Trend Analysis'!C7</f>
        <v>0.352112676056338</v>
      </c>
      <c r="D7" s="108">
        <f>('FS &amp; Trend Analysis'!C7-'FS &amp; Trend Analysis'!D7)/'FS &amp; Trend Analysis'!D7</f>
        <v>0.27164179104477609</v>
      </c>
      <c r="E7" s="108">
        <f>('FS &amp; Trend Analysis'!D7-'FS &amp; Trend Analysis'!E7)/'FS &amp; Trend Analysis'!E7</f>
        <v>3.5270270270270272</v>
      </c>
      <c r="F7" s="108">
        <f>('FS &amp; Trend Analysis'!E7-'FS &amp; Trend Analysis'!F7)/'FS &amp; Trend Analysis'!F7</f>
        <v>1.1764705882352942</v>
      </c>
      <c r="G7" s="108">
        <f>('FS &amp; Trend Analysis'!F7-'FS &amp; Trend Analysis'!G7)/'FS &amp; Trend Analysis'!G7</f>
        <v>-0.28870292887029286</v>
      </c>
    </row>
    <row r="8" spans="2:7" x14ac:dyDescent="0.3">
      <c r="B8" s="17" t="s">
        <v>7</v>
      </c>
      <c r="C8" s="108">
        <f>('FS &amp; Trend Analysis'!B8-'FS &amp; Trend Analysis'!C8)/'FS &amp; Trend Analysis'!C8</f>
        <v>4.2306844078512096E-2</v>
      </c>
      <c r="D8" s="108">
        <f>('FS &amp; Trend Analysis'!C8-'FS &amp; Trend Analysis'!D8)/'FS &amp; Trend Analysis'!D8</f>
        <v>5.7611568962836264E-2</v>
      </c>
      <c r="E8" s="108">
        <f>('FS &amp; Trend Analysis'!D8-'FS &amp; Trend Analysis'!E8)/'FS &amp; Trend Analysis'!E8</f>
        <v>-6.972370895414437E-2</v>
      </c>
      <c r="F8" s="108">
        <f>('FS &amp; Trend Analysis'!E8-'FS &amp; Trend Analysis'!F8)/'FS &amp; Trend Analysis'!F8</f>
        <v>-0.10241178952835395</v>
      </c>
      <c r="G8" s="108">
        <f>('FS &amp; Trend Analysis'!F8-'FS &amp; Trend Analysis'!G8)/'FS &amp; Trend Analysis'!G8</f>
        <v>0.13160349982735944</v>
      </c>
    </row>
    <row r="9" spans="2:7" x14ac:dyDescent="0.3">
      <c r="B9" s="10"/>
      <c r="C9" s="108"/>
      <c r="D9" s="108"/>
      <c r="E9" s="108"/>
      <c r="F9" s="108"/>
      <c r="G9" s="108"/>
    </row>
    <row r="10" spans="2:7" x14ac:dyDescent="0.3">
      <c r="B10" s="17" t="s">
        <v>8</v>
      </c>
      <c r="C10" s="108"/>
      <c r="D10" s="108"/>
      <c r="E10" s="108"/>
      <c r="F10" s="108"/>
      <c r="G10" s="108"/>
    </row>
    <row r="11" spans="2:7" x14ac:dyDescent="0.3">
      <c r="B11" s="23" t="s">
        <v>9</v>
      </c>
      <c r="C11" s="108">
        <f>('FS &amp; Trend Analysis'!B11-'FS &amp; Trend Analysis'!C11)/'FS &amp; Trend Analysis'!C11</f>
        <v>0.10196582766856513</v>
      </c>
      <c r="D11" s="108">
        <f>('FS &amp; Trend Analysis'!C11-'FS &amp; Trend Analysis'!D11)/'FS &amp; Trend Analysis'!D11</f>
        <v>3.5972592310620478E-2</v>
      </c>
      <c r="E11" s="108">
        <f>('FS &amp; Trend Analysis'!D11-'FS &amp; Trend Analysis'!E11)/'FS &amp; Trend Analysis'!E11</f>
        <v>-1.5551808131909312E-2</v>
      </c>
      <c r="F11" s="108">
        <f>('FS &amp; Trend Analysis'!E11-'FS &amp; Trend Analysis'!F11)/'FS &amp; Trend Analysis'!F11</f>
        <v>0.11442889956149509</v>
      </c>
      <c r="G11" s="108">
        <f>('FS &amp; Trend Analysis'!F11-'FS &amp; Trend Analysis'!G11)/'FS &amp; Trend Analysis'!G11</f>
        <v>0.20067191495762926</v>
      </c>
    </row>
    <row r="12" spans="2:7" x14ac:dyDescent="0.3">
      <c r="B12" s="23" t="s">
        <v>11</v>
      </c>
      <c r="C12" s="108">
        <f>('FS &amp; Trend Analysis'!B12-'FS &amp; Trend Analysis'!C12)/'FS &amp; Trend Analysis'!C12</f>
        <v>-6.4814814814814811E-2</v>
      </c>
      <c r="D12" s="108">
        <f>('FS &amp; Trend Analysis'!C12-'FS &amp; Trend Analysis'!D12)/'FS &amp; Trend Analysis'!D12</f>
        <v>0.28000000000000003</v>
      </c>
      <c r="E12" s="108">
        <f>('FS &amp; Trend Analysis'!D12-'FS &amp; Trend Analysis'!E12)/'FS &amp; Trend Analysis'!E12</f>
        <v>-0.21875</v>
      </c>
      <c r="F12" s="108">
        <f>('FS &amp; Trend Analysis'!E12-'FS &amp; Trend Analysis'!F12)/'FS &amp; Trend Analysis'!F12</f>
        <v>0.49740034662045063</v>
      </c>
      <c r="G12" s="108">
        <f>('FS &amp; Trend Analysis'!F12-'FS &amp; Trend Analysis'!G12)/'FS &amp; Trend Analysis'!G12</f>
        <v>0.65140240412135098</v>
      </c>
    </row>
    <row r="13" spans="2:7" x14ac:dyDescent="0.3">
      <c r="B13" s="23" t="s">
        <v>13</v>
      </c>
      <c r="C13" s="108">
        <f>('FS &amp; Trend Analysis'!B13-'FS &amp; Trend Analysis'!C13)/'FS &amp; Trend Analysis'!C13</f>
        <v>-2.5555555555555554</v>
      </c>
      <c r="D13" s="108">
        <f>('FS &amp; Trend Analysis'!C13-'FS &amp; Trend Analysis'!D13)/'FS &amp; Trend Analysis'!D13</f>
        <v>-0.24369747899159663</v>
      </c>
      <c r="E13" s="108">
        <f>('FS &amp; Trend Analysis'!D13-'FS &amp; Trend Analysis'!E13)/'FS &amp; Trend Analysis'!E13</f>
        <v>-1.9224806201550388</v>
      </c>
      <c r="F13" s="108">
        <f>('FS &amp; Trend Analysis'!E13-'FS &amp; Trend Analysis'!F13)/'FS &amp; Trend Analysis'!F13</f>
        <v>0.55797101449275366</v>
      </c>
      <c r="G13" s="108">
        <f>('FS &amp; Trend Analysis'!F13-'FS &amp; Trend Analysis'!G13)/'FS &amp; Trend Analysis'!G13</f>
        <v>-1.6359447004608296</v>
      </c>
    </row>
    <row r="14" spans="2:7" x14ac:dyDescent="0.3">
      <c r="B14" s="23" t="s">
        <v>15</v>
      </c>
      <c r="C14" s="108">
        <f>('FS &amp; Trend Analysis'!B14-'FS &amp; Trend Analysis'!C14)/'FS &amp; Trend Analysis'!C14</f>
        <v>8.2856579206944166E-3</v>
      </c>
      <c r="D14" s="108">
        <f>('FS &amp; Trend Analysis'!C14-'FS &amp; Trend Analysis'!D14)/'FS &amp; Trend Analysis'!D14</f>
        <v>3.4700959379465199E-2</v>
      </c>
      <c r="E14" s="108">
        <f>('FS &amp; Trend Analysis'!D14-'FS &amp; Trend Analysis'!E14)/'FS &amp; Trend Analysis'!E14</f>
        <v>-0.14572192513368984</v>
      </c>
      <c r="F14" s="108">
        <f>('FS &amp; Trend Analysis'!E14-'FS &amp; Trend Analysis'!F14)/'FS &amp; Trend Analysis'!F14</f>
        <v>-0.19415429294112135</v>
      </c>
      <c r="G14" s="108">
        <f>('FS &amp; Trend Analysis'!F14-'FS &amp; Trend Analysis'!G14)/'FS &amp; Trend Analysis'!G14</f>
        <v>0.10689991289559911</v>
      </c>
    </row>
    <row r="15" spans="2:7" x14ac:dyDescent="0.3">
      <c r="B15" s="23" t="s">
        <v>17</v>
      </c>
      <c r="C15" s="108">
        <f>('FS &amp; Trend Analysis'!B15-'FS &amp; Trend Analysis'!C15)/'FS &amp; Trend Analysis'!C15</f>
        <v>2.9752066115702479E-2</v>
      </c>
      <c r="D15" s="108">
        <f>('FS &amp; Trend Analysis'!C15-'FS &amp; Trend Analysis'!D15)/'FS &amp; Trend Analysis'!D15</f>
        <v>0.1141804788213628</v>
      </c>
      <c r="E15" s="108">
        <f>('FS &amp; Trend Analysis'!D15-'FS &amp; Trend Analysis'!E15)/'FS &amp; Trend Analysis'!E15</f>
        <v>-0.10543657331136738</v>
      </c>
      <c r="F15" s="108">
        <f>('FS &amp; Trend Analysis'!E15-'FS &amp; Trend Analysis'!F15)/'FS &amp; Trend Analysis'!F15</f>
        <v>-6.615384615384616E-2</v>
      </c>
      <c r="G15" s="108">
        <f>('FS &amp; Trend Analysis'!F15-'FS &amp; Trend Analysis'!G15)/'FS &amp; Trend Analysis'!G15</f>
        <v>0.20281273131014069</v>
      </c>
    </row>
    <row r="16" spans="2:7" x14ac:dyDescent="0.3">
      <c r="B16" s="23" t="s">
        <v>19</v>
      </c>
      <c r="C16" s="108">
        <f>('FS &amp; Trend Analysis'!B16-'FS &amp; Trend Analysis'!C16)/'FS &amp; Trend Analysis'!C16</f>
        <v>0.14804964539007093</v>
      </c>
      <c r="D16" s="108">
        <f>('FS &amp; Trend Analysis'!C16-'FS &amp; Trend Analysis'!D16)/'FS &amp; Trend Analysis'!D16</f>
        <v>8.3573487031700283E-2</v>
      </c>
      <c r="E16" s="108">
        <f>('FS &amp; Trend Analysis'!D16-'FS &amp; Trend Analysis'!E16)/'FS &amp; Trend Analysis'!E16</f>
        <v>0.13152173913043477</v>
      </c>
      <c r="F16" s="108">
        <f>('FS &amp; Trend Analysis'!E16-'FS &amp; Trend Analysis'!F16)/'FS &amp; Trend Analysis'!F16</f>
        <v>0.33526850507982581</v>
      </c>
      <c r="G16" s="108">
        <f>('FS &amp; Trend Analysis'!F16-'FS &amp; Trend Analysis'!G16)/'FS &amp; Trend Analysis'!G16</f>
        <v>0.20538838348495447</v>
      </c>
    </row>
    <row r="17" spans="2:7" x14ac:dyDescent="0.3">
      <c r="B17" s="23" t="s">
        <v>20</v>
      </c>
      <c r="C17" s="108">
        <f>('FS &amp; Trend Analysis'!B17-'FS &amp; Trend Analysis'!C17)/'FS &amp; Trend Analysis'!C17</f>
        <v>0.13212996389891696</v>
      </c>
      <c r="D17" s="108">
        <f>('FS &amp; Trend Analysis'!C17-'FS &amp; Trend Analysis'!D17)/'FS &amp; Trend Analysis'!D17</f>
        <v>2.4408284023668639E-2</v>
      </c>
      <c r="E17" s="108">
        <f>('FS &amp; Trend Analysis'!D17-'FS &amp; Trend Analysis'!E17)/'FS &amp; Trend Analysis'!E17</f>
        <v>-2.9498525073746312E-3</v>
      </c>
      <c r="F17" s="108">
        <f>('FS &amp; Trend Analysis'!E17-'FS &amp; Trend Analysis'!F17)/'FS &amp; Trend Analysis'!F17</f>
        <v>4.0675364543361472E-2</v>
      </c>
      <c r="G17" s="108">
        <f>('FS &amp; Trend Analysis'!F17-'FS &amp; Trend Analysis'!G17)/'FS &amp; Trend Analysis'!G17</f>
        <v>2.3646790792678063E-2</v>
      </c>
    </row>
    <row r="18" spans="2:7" x14ac:dyDescent="0.3">
      <c r="B18" s="24" t="s">
        <v>21</v>
      </c>
      <c r="C18" s="108">
        <f>('FS &amp; Trend Analysis'!B18-'FS &amp; Trend Analysis'!C18)/'FS &amp; Trend Analysis'!C18</f>
        <v>3.0863198770326027E-2</v>
      </c>
      <c r="D18" s="108">
        <f>('FS &amp; Trend Analysis'!C18-'FS &amp; Trend Analysis'!D18)/'FS &amp; Trend Analysis'!D18</f>
        <v>4.3959292259617415E-2</v>
      </c>
      <c r="E18" s="108">
        <f>('FS &amp; Trend Analysis'!D18-'FS &amp; Trend Analysis'!E18)/'FS &amp; Trend Analysis'!E18</f>
        <v>-9.4728391758094735E-2</v>
      </c>
      <c r="F18" s="108">
        <f>('FS &amp; Trend Analysis'!E18-'FS &amp; Trend Analysis'!F18)/'FS &amp; Trend Analysis'!F18</f>
        <v>-0.10641452200230922</v>
      </c>
      <c r="G18" s="108">
        <f>('FS &amp; Trend Analysis'!F18-'FS &amp; Trend Analysis'!G18)/'FS &amp; Trend Analysis'!G18</f>
        <v>0.11988768300287286</v>
      </c>
    </row>
    <row r="19" spans="2:7" x14ac:dyDescent="0.3">
      <c r="B19" s="10"/>
      <c r="C19" s="108"/>
      <c r="D19" s="108"/>
      <c r="E19" s="108"/>
      <c r="F19" s="108"/>
      <c r="G19" s="108"/>
    </row>
    <row r="20" spans="2:7" x14ac:dyDescent="0.3">
      <c r="B20" s="17" t="s">
        <v>22</v>
      </c>
      <c r="C20" s="108">
        <f>('FS &amp; Trend Analysis'!B20-'FS &amp; Trend Analysis'!C20)/'FS &amp; Trend Analysis'!C20</f>
        <v>0.15619967793880837</v>
      </c>
      <c r="D20" s="108">
        <f>('FS &amp; Trend Analysis'!C20-'FS &amp; Trend Analysis'!D20)/'FS &amp; Trend Analysis'!D20</f>
        <v>0.21585903083700442</v>
      </c>
      <c r="E20" s="108">
        <f>('FS &amp; Trend Analysis'!D20-'FS &amp; Trend Analysis'!E20)/'FS &amp; Trend Analysis'!E20</f>
        <v>0.36838580040187541</v>
      </c>
      <c r="F20" s="108">
        <f>('FS &amp; Trend Analysis'!E20-'FS &amp; Trend Analysis'!F20)/'FS &amp; Trend Analysis'!F20</f>
        <v>-2.5965553235907681E-2</v>
      </c>
      <c r="G20" s="108">
        <f>('FS &amp; Trend Analysis'!F20-'FS &amp; Trend Analysis'!G20)/'FS &amp; Trend Analysis'!G20</f>
        <v>0.41415259710305596</v>
      </c>
    </row>
    <row r="21" spans="2:7" x14ac:dyDescent="0.3">
      <c r="B21" s="23" t="s">
        <v>23</v>
      </c>
      <c r="C21" s="108">
        <f>('FS &amp; Trend Analysis'!B21-'FS &amp; Trend Analysis'!C21)/'FS &amp; Trend Analysis'!C21</f>
        <v>3.2846715328467155E-2</v>
      </c>
      <c r="D21" s="108">
        <f>('FS &amp; Trend Analysis'!C21-'FS &amp; Trend Analysis'!D21)/'FS &amp; Trend Analysis'!D21</f>
        <v>3.787878787878788E-2</v>
      </c>
      <c r="E21" s="108">
        <f>('FS &amp; Trend Analysis'!D21-'FS &amp; Trend Analysis'!E21)/'FS &amp; Trend Analysis'!E21</f>
        <v>-2.5830258302583026E-2</v>
      </c>
      <c r="F21" s="108">
        <f>('FS &amp; Trend Analysis'!E21-'FS &amp; Trend Analysis'!F21)/'FS &amp; Trend Analysis'!F21</f>
        <v>-6.228373702422145E-2</v>
      </c>
      <c r="G21" s="108">
        <f>('FS &amp; Trend Analysis'!F21-'FS &amp; Trend Analysis'!G21)/'FS &amp; Trend Analysis'!G21</f>
        <v>0.15924588848776569</v>
      </c>
    </row>
    <row r="22" spans="2:7" x14ac:dyDescent="0.3">
      <c r="B22" s="17" t="s">
        <v>25</v>
      </c>
      <c r="C22" s="108">
        <f>('FS &amp; Trend Analysis'!B22-'FS &amp; Trend Analysis'!C22)/'FS &amp; Trend Analysis'!C22</f>
        <v>0.17149321266968326</v>
      </c>
      <c r="D22" s="108">
        <f>('FS &amp; Trend Analysis'!C22-'FS &amp; Trend Analysis'!D22)/'FS &amp; Trend Analysis'!D22</f>
        <v>0.24227093872962338</v>
      </c>
      <c r="E22" s="108">
        <f>('FS &amp; Trend Analysis'!D22-'FS &amp; Trend Analysis'!E22)/'FS &amp; Trend Analysis'!E22</f>
        <v>0.45581014729950903</v>
      </c>
      <c r="F22" s="108">
        <f>('FS &amp; Trend Analysis'!E22-'FS &amp; Trend Analysis'!F22)/'FS &amp; Trend Analysis'!F22</f>
        <v>-1.7526933590608848E-2</v>
      </c>
      <c r="G22" s="108">
        <f>('FS &amp; Trend Analysis'!F22-'FS &amp; Trend Analysis'!G22)/'FS &amp; Trend Analysis'!G22</f>
        <v>0.4902947519769979</v>
      </c>
    </row>
    <row r="23" spans="2:7" x14ac:dyDescent="0.3">
      <c r="B23" s="23" t="s">
        <v>26</v>
      </c>
      <c r="C23" s="108">
        <f>('FS &amp; Trend Analysis'!B23-'FS &amp; Trend Analysis'!C23)/'FS &amp; Trend Analysis'!C23</f>
        <v>0.7752808988764045</v>
      </c>
      <c r="D23" s="108">
        <f>('FS &amp; Trend Analysis'!C23-'FS &amp; Trend Analysis'!D23)/'FS &amp; Trend Analysis'!D23</f>
        <v>0.17105263157894737</v>
      </c>
      <c r="E23" s="108">
        <f>('FS &amp; Trend Analysis'!D23-'FS &amp; Trend Analysis'!E23)/'FS &amp; Trend Analysis'!E23</f>
        <v>-0.26923076923076922</v>
      </c>
      <c r="F23" s="108">
        <f>('FS &amp; Trend Analysis'!E23-'FS &amp; Trend Analysis'!F23)/'FS &amp; Trend Analysis'!F23</f>
        <v>0.18181818181818182</v>
      </c>
      <c r="G23" s="108">
        <f>('FS &amp; Trend Analysis'!F23-'FS &amp; Trend Analysis'!G23)/'FS &amp; Trend Analysis'!G23</f>
        <v>-0.46924004825090476</v>
      </c>
    </row>
    <row r="24" spans="2:7" x14ac:dyDescent="0.3">
      <c r="B24" s="10" t="s">
        <v>28</v>
      </c>
      <c r="C24" s="108">
        <f>('FS &amp; Trend Analysis'!B24-'FS &amp; Trend Analysis'!C24)/'FS &amp; Trend Analysis'!C24</f>
        <v>0.14615747289014616</v>
      </c>
      <c r="D24" s="108">
        <f>('FS &amp; Trend Analysis'!C24-'FS &amp; Trend Analysis'!D24)/'FS &amp; Trend Analysis'!D24</f>
        <v>0.24544920728126834</v>
      </c>
      <c r="E24" s="108">
        <f>('FS &amp; Trend Analysis'!D24-'FS &amp; Trend Analysis'!E24)/'FS &amp; Trend Analysis'!E24</f>
        <v>0.52325581395348841</v>
      </c>
      <c r="F24" s="108">
        <f>('FS &amp; Trend Analysis'!E24-'FS &amp; Trend Analysis'!F24)/'FS &amp; Trend Analysis'!F24</f>
        <v>-3.2704620176500519E-2</v>
      </c>
      <c r="G24" s="108">
        <f>('FS &amp; Trend Analysis'!F24-'FS &amp; Trend Analysis'!G24)/'FS &amp; Trend Analysis'!G24</f>
        <v>0.72816985645933441</v>
      </c>
    </row>
    <row r="25" spans="2:7" x14ac:dyDescent="0.3">
      <c r="B25" s="10" t="s">
        <v>29</v>
      </c>
      <c r="C25" s="108"/>
      <c r="D25" s="108"/>
      <c r="E25" s="108"/>
      <c r="F25" s="108"/>
      <c r="G25" s="108"/>
    </row>
    <row r="26" spans="2:7" x14ac:dyDescent="0.3">
      <c r="B26" s="10" t="s">
        <v>30</v>
      </c>
      <c r="C26" s="108">
        <f>('FS &amp; Trend Analysis'!B26-'FS &amp; Trend Analysis'!C26)/'FS &amp; Trend Analysis'!C26</f>
        <v>0.14615747289014616</v>
      </c>
      <c r="D26" s="108">
        <f>('FS &amp; Trend Analysis'!C26-'FS &amp; Trend Analysis'!D26)/'FS &amp; Trend Analysis'!D26</f>
        <v>0.24544920728126834</v>
      </c>
      <c r="E26" s="108">
        <f>('FS &amp; Trend Analysis'!D26-'FS &amp; Trend Analysis'!E26)/'FS &amp; Trend Analysis'!E26</f>
        <v>0.52325581395348841</v>
      </c>
      <c r="F26" s="108">
        <f>('FS &amp; Trend Analysis'!E26-'FS &amp; Trend Analysis'!F26)/'FS &amp; Trend Analysis'!F26</f>
        <v>-3.2704620176500519E-2</v>
      </c>
      <c r="G26" s="108">
        <f>('FS &amp; Trend Analysis'!F26-'FS &amp; Trend Analysis'!G26)/'FS &amp; Trend Analysis'!G26</f>
        <v>0.72816985645933441</v>
      </c>
    </row>
    <row r="27" spans="2:7" x14ac:dyDescent="0.3">
      <c r="B27" s="10" t="s">
        <v>31</v>
      </c>
      <c r="C27" s="108">
        <f>('FS &amp; Trend Analysis'!B27-'FS &amp; Trend Analysis'!C27)/'FS &amp; Trend Analysis'!C27</f>
        <v>0.4</v>
      </c>
      <c r="D27" s="108">
        <f>('FS &amp; Trend Analysis'!C27-'FS &amp; Trend Analysis'!D27)/'FS &amp; Trend Analysis'!D27</f>
        <v>2.8235294117647061</v>
      </c>
      <c r="E27" s="108">
        <f>('FS &amp; Trend Analysis'!D27-'FS &amp; Trend Analysis'!E27)/'FS &amp; Trend Analysis'!E27</f>
        <v>-1.0994152046783625</v>
      </c>
      <c r="F27" s="108">
        <f>('FS &amp; Trend Analysis'!E27-'FS &amp; Trend Analysis'!F27)/'FS &amp; Trend Analysis'!F27</f>
        <v>-2.0961538461538463</v>
      </c>
      <c r="G27" s="108">
        <f>('FS &amp; Trend Analysis'!F27-'FS &amp; Trend Analysis'!G27)/'FS &amp; Trend Analysis'!G27</f>
        <v>3.0383091149273411E-2</v>
      </c>
    </row>
    <row r="28" spans="2:7" x14ac:dyDescent="0.3">
      <c r="B28" s="17" t="s">
        <v>32</v>
      </c>
      <c r="C28" s="108">
        <f>('FS &amp; Trend Analysis'!B28-'FS &amp; Trend Analysis'!C28)/'FS &amp; Trend Analysis'!C28</f>
        <v>0.13813229571984437</v>
      </c>
      <c r="D28" s="108">
        <f>('FS &amp; Trend Analysis'!C28-'FS &amp; Trend Analysis'!D28)/'FS &amp; Trend Analysis'!D28</f>
        <v>0.21945432977461446</v>
      </c>
      <c r="E28" s="108">
        <f>('FS &amp; Trend Analysis'!D28-'FS &amp; Trend Analysis'!E28)/'FS &amp; Trend Analysis'!E28</f>
        <v>0.30799069045771915</v>
      </c>
      <c r="F28" s="108">
        <f>('FS &amp; Trend Analysis'!E28-'FS &amp; Trend Analysis'!F28)/'FS &amp; Trend Analysis'!F28</f>
        <v>0.28925785157031503</v>
      </c>
      <c r="G28" s="108">
        <f>('FS &amp; Trend Analysis'!F28-'FS &amp; Trend Analysis'!G28)/'FS &amp; Trend Analysis'!G28</f>
        <v>0.93235407808272763</v>
      </c>
    </row>
    <row r="29" spans="2:7" x14ac:dyDescent="0.3">
      <c r="B29" s="10" t="s">
        <v>33</v>
      </c>
      <c r="C29" s="108">
        <f>('FS &amp; Trend Analysis'!B29-'FS &amp; Trend Analysis'!C29)/'FS &amp; Trend Analysis'!C29</f>
        <v>2.4096385542168676E-2</v>
      </c>
      <c r="D29" s="108">
        <f>('FS &amp; Trend Analysis'!C29-'FS &amp; Trend Analysis'!D29)/'FS &amp; Trend Analysis'!D29</f>
        <v>0.33155080213903743</v>
      </c>
      <c r="E29" s="108">
        <f>('FS &amp; Trend Analysis'!D29-'FS &amp; Trend Analysis'!E29)/'FS &amp; Trend Analysis'!E29</f>
        <v>0.57805907172995785</v>
      </c>
      <c r="F29" s="108">
        <f>('FS &amp; Trend Analysis'!E29-'FS &amp; Trend Analysis'!F29)/'FS &amp; Trend Analysis'!F29</f>
        <v>0.48125000000000001</v>
      </c>
      <c r="G29" s="108">
        <f>('FS &amp; Trend Analysis'!F29-'FS &amp; Trend Analysis'!G29)/'FS &amp; Trend Analysis'!G29</f>
        <v>8.1915563957152583E-3</v>
      </c>
    </row>
    <row r="30" spans="2:7" x14ac:dyDescent="0.3">
      <c r="B30" s="17" t="s">
        <v>34</v>
      </c>
      <c r="C30" s="108">
        <f>('FS &amp; Trend Analysis'!B30-'FS &amp; Trend Analysis'!C30)/'FS &amp; Trend Analysis'!C30</f>
        <v>0.17458279845956354</v>
      </c>
      <c r="D30" s="108">
        <f>('FS &amp; Trend Analysis'!C30-'FS &amp; Trend Analysis'!D30)/'FS &amp; Trend Analysis'!D30</f>
        <v>0.1875</v>
      </c>
      <c r="E30" s="108">
        <f>('FS &amp; Trend Analysis'!D30-'FS &amp; Trend Analysis'!E30)/'FS &amp; Trend Analysis'!E30</f>
        <v>0.24714828897338403</v>
      </c>
      <c r="F30" s="108">
        <f>('FS &amp; Trend Analysis'!E30-'FS &amp; Trend Analysis'!F30)/'FS &amp; Trend Analysis'!F30</f>
        <v>0.25267920933555715</v>
      </c>
      <c r="G30" s="108">
        <f>('FS &amp; Trend Analysis'!F30-'FS &amp; Trend Analysis'!G30)/'FS &amp; Trend Analysis'!G30</f>
        <v>1.341232227488163</v>
      </c>
    </row>
    <row r="31" spans="2:7" x14ac:dyDescent="0.3">
      <c r="B31" s="10" t="s">
        <v>35</v>
      </c>
      <c r="C31" s="108"/>
      <c r="D31" s="108"/>
      <c r="E31" s="108"/>
      <c r="F31" s="108"/>
      <c r="G31" s="108"/>
    </row>
    <row r="32" spans="2:7" x14ac:dyDescent="0.3">
      <c r="B32" s="17" t="s">
        <v>36</v>
      </c>
      <c r="C32" s="108">
        <f>('FS &amp; Trend Analysis'!B32-'FS &amp; Trend Analysis'!C32)/'FS &amp; Trend Analysis'!C32</f>
        <v>0.17458279845956354</v>
      </c>
      <c r="D32" s="108">
        <f>('FS &amp; Trend Analysis'!C32-'FS &amp; Trend Analysis'!D32)/'FS &amp; Trend Analysis'!D32</f>
        <v>0.1875</v>
      </c>
      <c r="E32" s="108">
        <f>('FS &amp; Trend Analysis'!D32-'FS &amp; Trend Analysis'!E32)/'FS &amp; Trend Analysis'!E32</f>
        <v>0.24714828897338403</v>
      </c>
      <c r="F32" s="108">
        <f>('FS &amp; Trend Analysis'!E32-'FS &amp; Trend Analysis'!F32)/'FS &amp; Trend Analysis'!F32</f>
        <v>0.25267920933555715</v>
      </c>
      <c r="G32" s="108">
        <f>('FS &amp; Trend Analysis'!F32-'FS &amp; Trend Analysis'!G32)/'FS &amp; Trend Analysis'!G32</f>
        <v>1.341232227488163</v>
      </c>
    </row>
    <row r="33" spans="2:7" x14ac:dyDescent="0.3">
      <c r="B33" s="10" t="s">
        <v>37</v>
      </c>
      <c r="C33" s="108">
        <f>('FS &amp; Trend Analysis'!B33-'FS &amp; Trend Analysis'!C33)/'FS &amp; Trend Analysis'!C33</f>
        <v>2.6085714285714285</v>
      </c>
      <c r="D33" s="108">
        <f>('FS &amp; Trend Analysis'!C33-'FS &amp; Trend Analysis'!D33)/'FS &amp; Trend Analysis'!D33</f>
        <v>0.20274914089347079</v>
      </c>
      <c r="E33" s="108" t="e">
        <f>('FS &amp; Trend Analysis'!D33-'FS &amp; Trend Analysis'!E33)/'FS &amp; Trend Analysis'!E33</f>
        <v>#DIV/0!</v>
      </c>
      <c r="F33" s="108" t="e">
        <f>('FS &amp; Trend Analysis'!E33-'FS &amp; Trend Analysis'!F33)/'FS &amp; Trend Analysis'!F33</f>
        <v>#DIV/0!</v>
      </c>
      <c r="G33" s="108" t="e">
        <f>('FS &amp; Trend Analysis'!F33-'FS &amp; Trend Analysis'!G33)/'FS &amp; Trend Analysis'!G33</f>
        <v>#DIV/0!</v>
      </c>
    </row>
    <row r="34" spans="2:7" x14ac:dyDescent="0.3">
      <c r="B34" s="28" t="s">
        <v>38</v>
      </c>
      <c r="C34" s="108">
        <f>('FS &amp; Trend Analysis'!B34-'FS &amp; Trend Analysis'!C34)/'FS &amp; Trend Analysis'!C34</f>
        <v>-0.10019565441252187</v>
      </c>
      <c r="D34" s="108">
        <f>('FS &amp; Trend Analysis'!C34-'FS &amp; Trend Analysis'!D34)/'FS &amp; Trend Analysis'!D34</f>
        <v>9.1923469069268987E-2</v>
      </c>
      <c r="E34" s="108">
        <f>('FS &amp; Trend Analysis'!D34-'FS &amp; Trend Analysis'!E34)/'FS &amp; Trend Analysis'!E34</f>
        <v>0.20647576717669966</v>
      </c>
      <c r="F34" s="108">
        <f>('FS &amp; Trend Analysis'!E34-'FS &amp; Trend Analysis'!F34)/'FS &amp; Trend Analysis'!F34</f>
        <v>0.14891679596586418</v>
      </c>
      <c r="G34" s="108">
        <f>('FS &amp; Trend Analysis'!F34-'FS &amp; Trend Analysis'!G34)/'FS &amp; Trend Analysis'!G34</f>
        <v>-0.47825734018889637</v>
      </c>
    </row>
    <row r="35" spans="2:7" x14ac:dyDescent="0.3">
      <c r="B35" s="109"/>
      <c r="C35" s="110"/>
      <c r="D35" s="110"/>
      <c r="E35" s="110"/>
      <c r="F35" s="110"/>
      <c r="G35" s="110"/>
    </row>
    <row r="36" spans="2:7" x14ac:dyDescent="0.3">
      <c r="B36" s="109"/>
      <c r="C36" s="110"/>
      <c r="D36" s="110"/>
      <c r="E36" s="110"/>
      <c r="F36" s="110"/>
      <c r="G36" s="110"/>
    </row>
    <row r="37" spans="2:7" x14ac:dyDescent="0.3">
      <c r="B37" s="109"/>
      <c r="C37" s="110"/>
      <c r="D37" s="110"/>
      <c r="E37" s="110"/>
      <c r="F37" s="110"/>
      <c r="G37" s="110"/>
    </row>
    <row r="38" spans="2:7" x14ac:dyDescent="0.3">
      <c r="B38" s="79"/>
      <c r="C38" s="79"/>
      <c r="D38" s="79"/>
      <c r="E38" s="79"/>
      <c r="F38" s="79"/>
      <c r="G38" s="79"/>
    </row>
    <row r="39" spans="2:7" x14ac:dyDescent="0.3">
      <c r="B39" s="77" t="s">
        <v>135</v>
      </c>
      <c r="C39" s="78"/>
      <c r="D39" s="78"/>
      <c r="E39" s="78"/>
      <c r="F39" s="78"/>
      <c r="G39" s="78"/>
    </row>
    <row r="40" spans="2:7" x14ac:dyDescent="0.3">
      <c r="B40" s="80" t="s">
        <v>4</v>
      </c>
      <c r="C40" s="81">
        <v>46112</v>
      </c>
      <c r="D40" s="81">
        <v>45747</v>
      </c>
      <c r="E40" s="81">
        <v>45382</v>
      </c>
      <c r="F40" s="81">
        <v>45016</v>
      </c>
      <c r="G40" s="81">
        <v>44651</v>
      </c>
    </row>
    <row r="41" spans="2:7" x14ac:dyDescent="0.3">
      <c r="B41" s="111" t="s">
        <v>40</v>
      </c>
      <c r="C41" s="111"/>
      <c r="D41" s="111"/>
      <c r="E41" s="111"/>
      <c r="F41" s="111"/>
      <c r="G41" s="111"/>
    </row>
    <row r="42" spans="2:7" x14ac:dyDescent="0.3">
      <c r="B42" s="38" t="s">
        <v>41</v>
      </c>
      <c r="C42" s="108">
        <f>('FS &amp; Trend Analysis'!B40-'FS &amp; Trend Analysis'!C40)/'FS &amp; Trend Analysis'!C40</f>
        <v>0</v>
      </c>
      <c r="D42" s="108">
        <f>('FS &amp; Trend Analysis'!C40-'FS &amp; Trend Analysis'!D40)/'FS &amp; Trend Analysis'!D40</f>
        <v>0</v>
      </c>
      <c r="E42" s="108">
        <f>('FS &amp; Trend Analysis'!D40-'FS &amp; Trend Analysis'!E40)/'FS &amp; Trend Analysis'!E40</f>
        <v>-3.4364261168384879E-3</v>
      </c>
      <c r="F42" s="108">
        <f>('FS &amp; Trend Analysis'!E40-'FS &amp; Trend Analysis'!F40)/'FS &amp; Trend Analysis'!F40</f>
        <v>0</v>
      </c>
      <c r="G42" s="108">
        <f>('FS &amp; Trend Analysis'!F40-'FS &amp; Trend Analysis'!G40)/'FS &amp; Trend Analysis'!G40</f>
        <v>1.3764624913970311E-3</v>
      </c>
    </row>
    <row r="43" spans="2:7" x14ac:dyDescent="0.3">
      <c r="B43" s="38" t="s">
        <v>42</v>
      </c>
      <c r="C43" s="108" t="e">
        <f>('FS &amp; Trend Analysis'!B41-'FS &amp; Trend Analysis'!C41)/'FS &amp; Trend Analysis'!C41</f>
        <v>#DIV/0!</v>
      </c>
      <c r="D43" s="108" t="e">
        <f>('FS &amp; Trend Analysis'!C41-'FS &amp; Trend Analysis'!D41)/'FS &amp; Trend Analysis'!D41</f>
        <v>#DIV/0!</v>
      </c>
      <c r="E43" s="108" t="e">
        <f>('FS &amp; Trend Analysis'!D41-'FS &amp; Trend Analysis'!E41)/'FS &amp; Trend Analysis'!E41</f>
        <v>#DIV/0!</v>
      </c>
      <c r="F43" s="108">
        <f>('FS &amp; Trend Analysis'!E41-'FS &amp; Trend Analysis'!F41)/'FS &amp; Trend Analysis'!F41</f>
        <v>-1</v>
      </c>
      <c r="G43" s="108" t="e">
        <f>('FS &amp; Trend Analysis'!F41-'FS &amp; Trend Analysis'!G41)/'FS &amp; Trend Analysis'!G41</f>
        <v>#DIV/0!</v>
      </c>
    </row>
    <row r="44" spans="2:7" x14ac:dyDescent="0.3">
      <c r="B44" s="42" t="s">
        <v>43</v>
      </c>
      <c r="C44" s="108" t="e">
        <f>('FS &amp; Trend Analysis'!B42-'FS &amp; Trend Analysis'!C42)/'FS &amp; Trend Analysis'!C42</f>
        <v>#DIV/0!</v>
      </c>
      <c r="D44" s="108" t="e">
        <f>('FS &amp; Trend Analysis'!C42-'FS &amp; Trend Analysis'!D42)/'FS &amp; Trend Analysis'!D42</f>
        <v>#DIV/0!</v>
      </c>
      <c r="E44" s="108" t="e">
        <f>('FS &amp; Trend Analysis'!D42-'FS &amp; Trend Analysis'!E42)/'FS &amp; Trend Analysis'!E42</f>
        <v>#DIV/0!</v>
      </c>
      <c r="F44" s="108" t="e">
        <f>('FS &amp; Trend Analysis'!E42-'FS &amp; Trend Analysis'!F42)/'FS &amp; Trend Analysis'!F42</f>
        <v>#DIV/0!</v>
      </c>
      <c r="G44" s="108" t="e">
        <f>('FS &amp; Trend Analysis'!F42-'FS &amp; Trend Analysis'!G42)/'FS &amp; Trend Analysis'!G42</f>
        <v>#DIV/0!</v>
      </c>
    </row>
    <row r="45" spans="2:7" x14ac:dyDescent="0.3">
      <c r="B45" s="38" t="s">
        <v>44</v>
      </c>
      <c r="C45" s="108">
        <f>('FS &amp; Trend Analysis'!B43-'FS &amp; Trend Analysis'!C43)/'FS &amp; Trend Analysis'!C43</f>
        <v>0.10886992500646496</v>
      </c>
      <c r="D45" s="108">
        <f>('FS &amp; Trend Analysis'!C43-'FS &amp; Trend Analysis'!D43)/'FS &amp; Trend Analysis'!D43</f>
        <v>0.13435024933998241</v>
      </c>
      <c r="E45" s="108">
        <f>('FS &amp; Trend Analysis'!D43-'FS &amp; Trend Analysis'!E43)/'FS &amp; Trend Analysis'!E43</f>
        <v>0.17571995171581306</v>
      </c>
      <c r="F45" s="108">
        <f>('FS &amp; Trend Analysis'!E43-'FS &amp; Trend Analysis'!F43)/'FS &amp; Trend Analysis'!F43</f>
        <v>0.22166512176624248</v>
      </c>
      <c r="G45" s="108">
        <f>('FS &amp; Trend Analysis'!F43-'FS &amp; Trend Analysis'!G43)/'FS &amp; Trend Analysis'!G43</f>
        <v>0.19221398970237352</v>
      </c>
    </row>
    <row r="46" spans="2:7" x14ac:dyDescent="0.3">
      <c r="B46" s="17" t="s">
        <v>45</v>
      </c>
      <c r="C46" s="108">
        <f>('FS &amp; Trend Analysis'!B44-'FS &amp; Trend Analysis'!C44)/'FS &amp; Trend Analysis'!C44</f>
        <v>0.10686635359817236</v>
      </c>
      <c r="D46" s="108">
        <f>('FS &amp; Trend Analysis'!C44-'FS &amp; Trend Analysis'!D44)/'FS &amp; Trend Analysis'!D44</f>
        <v>0.13155249174206521</v>
      </c>
      <c r="E46" s="108">
        <f>('FS &amp; Trend Analysis'!D44-'FS &amp; Trend Analysis'!E44)/'FS &amp; Trend Analysis'!E44</f>
        <v>0.17133484733787535</v>
      </c>
      <c r="F46" s="108">
        <f>('FS &amp; Trend Analysis'!E44-'FS &amp; Trend Analysis'!F44)/'FS &amp; Trend Analysis'!F44</f>
        <v>0.21502299437915176</v>
      </c>
      <c r="G46" s="108">
        <f>('FS &amp; Trend Analysis'!F44-'FS &amp; Trend Analysis'!G44)/'FS &amp; Trend Analysis'!G44</f>
        <v>0.18554327808471449</v>
      </c>
    </row>
    <row r="47" spans="2:7" x14ac:dyDescent="0.3">
      <c r="B47" s="10"/>
      <c r="C47" s="108"/>
      <c r="D47" s="108"/>
      <c r="E47" s="108"/>
      <c r="F47" s="108"/>
      <c r="G47" s="108"/>
    </row>
    <row r="48" spans="2:7" x14ac:dyDescent="0.3">
      <c r="B48" s="17" t="s">
        <v>46</v>
      </c>
      <c r="C48" s="108"/>
      <c r="D48" s="108"/>
      <c r="E48" s="108"/>
      <c r="F48" s="108"/>
      <c r="G48" s="108"/>
    </row>
    <row r="49" spans="2:7" x14ac:dyDescent="0.3">
      <c r="B49" s="38" t="s">
        <v>47</v>
      </c>
      <c r="C49" s="108" t="e">
        <f>('FS &amp; Trend Analysis'!B47-'FS &amp; Trend Analysis'!C47)/'FS &amp; Trend Analysis'!C47</f>
        <v>#DIV/0!</v>
      </c>
      <c r="D49" s="108" t="e">
        <f>('FS &amp; Trend Analysis'!C47-'FS &amp; Trend Analysis'!D47)/'FS &amp; Trend Analysis'!D47</f>
        <v>#DIV/0!</v>
      </c>
      <c r="E49" s="108">
        <f>('FS &amp; Trend Analysis'!D47-'FS &amp; Trend Analysis'!E47)/'FS &amp; Trend Analysis'!E47</f>
        <v>-1</v>
      </c>
      <c r="F49" s="108">
        <f>('FS &amp; Trend Analysis'!E47-'FS &amp; Trend Analysis'!F47)/'FS &amp; Trend Analysis'!F47</f>
        <v>-0.66666666666666674</v>
      </c>
      <c r="G49" s="108" t="e">
        <f>('FS &amp; Trend Analysis'!F47-'FS &amp; Trend Analysis'!G47)/'FS &amp; Trend Analysis'!G47</f>
        <v>#DIV/0!</v>
      </c>
    </row>
    <row r="50" spans="2:7" x14ac:dyDescent="0.3">
      <c r="B50" s="38" t="s">
        <v>48</v>
      </c>
      <c r="C50" s="108">
        <f>('FS &amp; Trend Analysis'!B48-'FS &amp; Trend Analysis'!C48)/'FS &amp; Trend Analysis'!C48</f>
        <v>-8.0838323353293412E-2</v>
      </c>
      <c r="D50" s="108">
        <f>('FS &amp; Trend Analysis'!C48-'FS &amp; Trend Analysis'!D48)/'FS &amp; Trend Analysis'!D48</f>
        <v>1.437956204379562</v>
      </c>
      <c r="E50" s="108">
        <f>('FS &amp; Trend Analysis'!D48-'FS &amp; Trend Analysis'!E48)/'FS &amp; Trend Analysis'!E48</f>
        <v>0.71250000000000002</v>
      </c>
      <c r="F50" s="108">
        <f>('FS &amp; Trend Analysis'!E48-'FS &amp; Trend Analysis'!F48)/'FS &amp; Trend Analysis'!F48</f>
        <v>-0.40343027591349734</v>
      </c>
      <c r="G50" s="108">
        <f>('FS &amp; Trend Analysis'!F48-'FS &amp; Trend Analysis'!G48)/'FS &amp; Trend Analysis'!G48</f>
        <v>0.44972972972972969</v>
      </c>
    </row>
    <row r="51" spans="2:7" x14ac:dyDescent="0.3">
      <c r="B51" s="38" t="s">
        <v>49</v>
      </c>
      <c r="C51" s="108">
        <f>('FS &amp; Trend Analysis'!B49-'FS &amp; Trend Analysis'!C49)/'FS &amp; Trend Analysis'!C49</f>
        <v>1.4375</v>
      </c>
      <c r="D51" s="108">
        <f>('FS &amp; Trend Analysis'!C49-'FS &amp; Trend Analysis'!D49)/'FS &amp; Trend Analysis'!D49</f>
        <v>6.6666666666666666E-2</v>
      </c>
      <c r="E51" s="108">
        <f>('FS &amp; Trend Analysis'!D49-'FS &amp; Trend Analysis'!E49)/'FS &amp; Trend Analysis'!E49</f>
        <v>0.21951219512195114</v>
      </c>
      <c r="F51" s="108">
        <f>('FS &amp; Trend Analysis'!E49-'FS &amp; Trend Analysis'!F49)/'FS &amp; Trend Analysis'!F49</f>
        <v>-0.17449664429530198</v>
      </c>
      <c r="G51" s="108">
        <f>('FS &amp; Trend Analysis'!F49-'FS &amp; Trend Analysis'!G49)/'FS &amp; Trend Analysis'!G49</f>
        <v>0.98666666666666669</v>
      </c>
    </row>
    <row r="52" spans="2:7" x14ac:dyDescent="0.3">
      <c r="B52" s="17" t="s">
        <v>50</v>
      </c>
      <c r="C52" s="108">
        <f>('FS &amp; Trend Analysis'!B50-'FS &amp; Trend Analysis'!C50)/'FS &amp; Trend Analysis'!C50</f>
        <v>-1.1428571428571429E-2</v>
      </c>
      <c r="D52" s="108">
        <f>('FS &amp; Trend Analysis'!C50-'FS &amp; Trend Analysis'!D50)/'FS &amp; Trend Analysis'!D50</f>
        <v>1.3026315789473684</v>
      </c>
      <c r="E52" s="108">
        <f>('FS &amp; Trend Analysis'!D50-'FS &amp; Trend Analysis'!E50)/'FS &amp; Trend Analysis'!E50</f>
        <v>0.64146868250539968</v>
      </c>
      <c r="F52" s="108">
        <f>('FS &amp; Trend Analysis'!E50-'FS &amp; Trend Analysis'!F50)/'FS &amp; Trend Analysis'!F50</f>
        <v>-0.3822548365577052</v>
      </c>
      <c r="G52" s="108">
        <f>('FS &amp; Trend Analysis'!F50-'FS &amp; Trend Analysis'!G50)/'FS &amp; Trend Analysis'!G50</f>
        <v>0.49900000000000005</v>
      </c>
    </row>
    <row r="53" spans="2:7" x14ac:dyDescent="0.3">
      <c r="B53" s="10"/>
      <c r="C53" s="108">
        <f>('FS &amp; Trend Analysis'!B51-'FS &amp; Trend Analysis'!C51)/'FS &amp; Trend Analysis'!C51</f>
        <v>-0.32876712328767121</v>
      </c>
      <c r="D53" s="108">
        <f>('FS &amp; Trend Analysis'!C51-'FS &amp; Trend Analysis'!D51)/'FS &amp; Trend Analysis'!D51</f>
        <v>0.41747572815533979</v>
      </c>
      <c r="E53" s="108">
        <f>('FS &amp; Trend Analysis'!D51-'FS &amp; Trend Analysis'!E51)/'FS &amp; Trend Analysis'!E51</f>
        <v>7.8277886497064297E-3</v>
      </c>
      <c r="F53" s="108">
        <f>('FS &amp; Trend Analysis'!E51-'FS &amp; Trend Analysis'!F51)/'FS &amp; Trend Analysis'!F51</f>
        <v>-0.21141975308641969</v>
      </c>
      <c r="G53" s="108" t="e">
        <f>('FS &amp; Trend Analysis'!F51-'FS &amp; Trend Analysis'!G51)/'FS &amp; Trend Analysis'!G51</f>
        <v>#DIV/0!</v>
      </c>
    </row>
    <row r="54" spans="2:7" x14ac:dyDescent="0.3">
      <c r="B54" s="17" t="s">
        <v>51</v>
      </c>
      <c r="C54" s="108"/>
      <c r="D54" s="108"/>
      <c r="E54" s="108"/>
      <c r="F54" s="108"/>
      <c r="G54" s="108"/>
    </row>
    <row r="55" spans="2:7" x14ac:dyDescent="0.3">
      <c r="B55" s="38" t="s">
        <v>47</v>
      </c>
      <c r="C55" s="108" t="e">
        <f>('FS &amp; Trend Analysis'!B53-'FS &amp; Trend Analysis'!C53)/'FS &amp; Trend Analysis'!C53</f>
        <v>#DIV/0!</v>
      </c>
      <c r="D55" s="108">
        <f>('FS &amp; Trend Analysis'!C53-'FS &amp; Trend Analysis'!D53)/'FS &amp; Trend Analysis'!D53</f>
        <v>-1</v>
      </c>
      <c r="E55" s="108">
        <f>('FS &amp; Trend Analysis'!D53-'FS &amp; Trend Analysis'!E53)/'FS &amp; Trend Analysis'!E53</f>
        <v>0</v>
      </c>
      <c r="F55" s="108">
        <f>('FS &amp; Trend Analysis'!E53-'FS &amp; Trend Analysis'!F53)/'FS &amp; Trend Analysis'!F53</f>
        <v>-0.99765258215962438</v>
      </c>
      <c r="G55" s="108">
        <f>('FS &amp; Trend Analysis'!F53-'FS &amp; Trend Analysis'!G53)/'FS &amp; Trend Analysis'!G53</f>
        <v>-0.38660907127429806</v>
      </c>
    </row>
    <row r="56" spans="2:7" x14ac:dyDescent="0.3">
      <c r="B56" s="38" t="s">
        <v>48</v>
      </c>
      <c r="C56" s="108">
        <f>('FS &amp; Trend Analysis'!B54-'FS &amp; Trend Analysis'!C54)/'FS &amp; Trend Analysis'!C54</f>
        <v>-0.32876712328767121</v>
      </c>
      <c r="D56" s="108">
        <f>('FS &amp; Trend Analysis'!C54-'FS &amp; Trend Analysis'!D54)/'FS &amp; Trend Analysis'!D54</f>
        <v>0.41747572815533979</v>
      </c>
      <c r="E56" s="108">
        <f>('FS &amp; Trend Analysis'!D54-'FS &amp; Trend Analysis'!E54)/'FS &amp; Trend Analysis'!E54</f>
        <v>7.8277886497064297E-3</v>
      </c>
      <c r="F56" s="108">
        <f>('FS &amp; Trend Analysis'!E54-'FS &amp; Trend Analysis'!F54)/'FS &amp; Trend Analysis'!F54</f>
        <v>-0.21141975308641969</v>
      </c>
      <c r="G56" s="108">
        <f>('FS &amp; Trend Analysis'!F54-'FS &amp; Trend Analysis'!G54)/'FS &amp; Trend Analysis'!G54</f>
        <v>0.9846860643185299</v>
      </c>
    </row>
    <row r="57" spans="2:7" x14ac:dyDescent="0.3">
      <c r="B57" s="38" t="s">
        <v>52</v>
      </c>
      <c r="C57" s="108">
        <f>('FS &amp; Trend Analysis'!B55-'FS &amp; Trend Analysis'!C55)/'FS &amp; Trend Analysis'!C55</f>
        <v>0.89189189189189189</v>
      </c>
      <c r="D57" s="108">
        <f>('FS &amp; Trend Analysis'!C55-'FS &amp; Trend Analysis'!D55)/'FS &amp; Trend Analysis'!D55</f>
        <v>7.2463768115942032E-2</v>
      </c>
      <c r="E57" s="108">
        <f>('FS &amp; Trend Analysis'!D55-'FS &amp; Trend Analysis'!E55)/'FS &amp; Trend Analysis'!E55</f>
        <v>0.37450199203187245</v>
      </c>
      <c r="F57" s="108">
        <f>('FS &amp; Trend Analysis'!E55-'FS &amp; Trend Analysis'!F55)/'FS &amp; Trend Analysis'!F55</f>
        <v>-0.36616161616161613</v>
      </c>
      <c r="G57" s="108">
        <f>('FS &amp; Trend Analysis'!F55-'FS &amp; Trend Analysis'!G55)/'FS &amp; Trend Analysis'!G55</f>
        <v>0.23750000000000004</v>
      </c>
    </row>
    <row r="58" spans="2:7" x14ac:dyDescent="0.3">
      <c r="B58" s="38" t="s">
        <v>53</v>
      </c>
      <c r="C58" s="108">
        <f>('FS &amp; Trend Analysis'!B56-'FS &amp; Trend Analysis'!C56)/'FS &amp; Trend Analysis'!C56</f>
        <v>7.6515880654475454E-2</v>
      </c>
      <c r="D58" s="108">
        <f>('FS &amp; Trend Analysis'!C56-'FS &amp; Trend Analysis'!D56)/'FS &amp; Trend Analysis'!D56</f>
        <v>0.18202502844141069</v>
      </c>
      <c r="E58" s="108">
        <f>('FS &amp; Trend Analysis'!D56-'FS &amp; Trend Analysis'!E56)/'FS &amp; Trend Analysis'!E56</f>
        <v>4.140749955571358E-2</v>
      </c>
      <c r="F58" s="108">
        <f>('FS &amp; Trend Analysis'!E56-'FS &amp; Trend Analysis'!F56)/'FS &amp; Trend Analysis'!F56</f>
        <v>0.16525160488714011</v>
      </c>
      <c r="G58" s="108">
        <f>('FS &amp; Trend Analysis'!F56-'FS &amp; Trend Analysis'!G56)/'FS &amp; Trend Analysis'!G56</f>
        <v>9.9749487588248767E-2</v>
      </c>
    </row>
    <row r="59" spans="2:7" x14ac:dyDescent="0.3">
      <c r="B59" s="38" t="s">
        <v>54</v>
      </c>
      <c r="C59" s="108">
        <f>('FS &amp; Trend Analysis'!B57-'FS &amp; Trend Analysis'!C57)/'FS &amp; Trend Analysis'!C57</f>
        <v>-0.44421487603305787</v>
      </c>
      <c r="D59" s="108">
        <f>('FS &amp; Trend Analysis'!C57-'FS &amp; Trend Analysis'!D57)/'FS &amp; Trend Analysis'!D57</f>
        <v>1.3725490196078431</v>
      </c>
      <c r="E59" s="108">
        <f>('FS &amp; Trend Analysis'!D57-'FS &amp; Trend Analysis'!E57)/'FS &amp; Trend Analysis'!E57</f>
        <v>-0.28320449754040766</v>
      </c>
      <c r="F59" s="108">
        <f>('FS &amp; Trend Analysis'!E57-'FS &amp; Trend Analysis'!F57)/'FS &amp; Trend Analysis'!F57</f>
        <v>0.47767393561786103</v>
      </c>
      <c r="G59" s="108">
        <f>('FS &amp; Trend Analysis'!F57-'FS &amp; Trend Analysis'!G57)/'FS &amp; Trend Analysis'!G57</f>
        <v>2.6028110359187923E-3</v>
      </c>
    </row>
    <row r="60" spans="2:7" x14ac:dyDescent="0.3">
      <c r="B60" s="38" t="s">
        <v>49</v>
      </c>
      <c r="C60" s="108">
        <f>('FS &amp; Trend Analysis'!B58-'FS &amp; Trend Analysis'!C58)/'FS &amp; Trend Analysis'!C58</f>
        <v>0.34048257372654156</v>
      </c>
      <c r="D60" s="108">
        <f>('FS &amp; Trend Analysis'!C58-'FS &amp; Trend Analysis'!D58)/'FS &amp; Trend Analysis'!D58</f>
        <v>1.6348773841961851E-2</v>
      </c>
      <c r="E60" s="108">
        <f>('FS &amp; Trend Analysis'!D58-'FS &amp; Trend Analysis'!E58)/'FS &amp; Trend Analysis'!E58</f>
        <v>-1.2113055181695828E-2</v>
      </c>
      <c r="F60" s="108">
        <f>('FS &amp; Trend Analysis'!E58-'FS &amp; Trend Analysis'!F58)/'FS &amp; Trend Analysis'!F58</f>
        <v>-0.23543939082115659</v>
      </c>
      <c r="G60" s="108">
        <f>('FS &amp; Trend Analysis'!F58-'FS &amp; Trend Analysis'!G58)/'FS &amp; Trend Analysis'!G58</f>
        <v>-9.6672243911507721E-2</v>
      </c>
    </row>
    <row r="61" spans="2:7" x14ac:dyDescent="0.3">
      <c r="B61" s="38" t="s">
        <v>55</v>
      </c>
      <c r="C61" s="108">
        <f>('FS &amp; Trend Analysis'!B59-'FS &amp; Trend Analysis'!C59)/'FS &amp; Trend Analysis'!C59</f>
        <v>0.5949720670391061</v>
      </c>
      <c r="D61" s="108">
        <f>('FS &amp; Trend Analysis'!C59-'FS &amp; Trend Analysis'!D59)/'FS &amp; Trend Analysis'!D59</f>
        <v>0.10493827160493827</v>
      </c>
      <c r="E61" s="108">
        <f>('FS &amp; Trend Analysis'!D59-'FS &amp; Trend Analysis'!E59)/'FS &amp; Trend Analysis'!E59</f>
        <v>0.14528101802757168</v>
      </c>
      <c r="F61" s="108">
        <f>('FS &amp; Trend Analysis'!E59-'FS &amp; Trend Analysis'!F59)/'FS &amp; Trend Analysis'!F59</f>
        <v>0.48581932773109227</v>
      </c>
      <c r="G61" s="108">
        <f>('FS &amp; Trend Analysis'!F59-'FS &amp; Trend Analysis'!G59)/'FS &amp; Trend Analysis'!G59</f>
        <v>-0.40961240310077518</v>
      </c>
    </row>
    <row r="62" spans="2:7" x14ac:dyDescent="0.3">
      <c r="B62" s="38" t="s">
        <v>56</v>
      </c>
      <c r="C62" s="108">
        <f>('FS &amp; Trend Analysis'!B60-'FS &amp; Trend Analysis'!C60)/'FS &amp; Trend Analysis'!C60</f>
        <v>6.1475409836065573E-3</v>
      </c>
      <c r="D62" s="108">
        <f>('FS &amp; Trend Analysis'!C60-'FS &amp; Trend Analysis'!D60)/'FS &amp; Trend Analysis'!D60</f>
        <v>0.21695760598503741</v>
      </c>
      <c r="E62" s="108">
        <f>('FS &amp; Trend Analysis'!D60-'FS &amp; Trend Analysis'!E60)/'FS &amp; Trend Analysis'!E60</f>
        <v>6.3660477453580902E-2</v>
      </c>
      <c r="F62" s="108">
        <f>('FS &amp; Trend Analysis'!E60-'FS &amp; Trend Analysis'!F60)/'FS &amp; Trend Analysis'!F60</f>
        <v>-7.291282429607765E-2</v>
      </c>
      <c r="G62" s="108">
        <f>('FS &amp; Trend Analysis'!F60-'FS &amp; Trend Analysis'!G60)/'FS &amp; Trend Analysis'!G60</f>
        <v>-5.3972315924159693E-2</v>
      </c>
    </row>
    <row r="63" spans="2:7" x14ac:dyDescent="0.3">
      <c r="B63" s="17" t="s">
        <v>57</v>
      </c>
      <c r="C63" s="108">
        <f>('FS &amp; Trend Analysis'!B61-'FS &amp; Trend Analysis'!C61)/'FS &amp; Trend Analysis'!C61</f>
        <v>6.8612163065270668E-2</v>
      </c>
      <c r="D63" s="108">
        <f>('FS &amp; Trend Analysis'!C61-'FS &amp; Trend Analysis'!D61)/'FS &amp; Trend Analysis'!D61</f>
        <v>0.23738905121561271</v>
      </c>
      <c r="E63" s="108">
        <f>('FS &amp; Trend Analysis'!D61-'FS &amp; Trend Analysis'!E61)/'FS &amp; Trend Analysis'!E61</f>
        <v>2.6455026455026454E-2</v>
      </c>
      <c r="F63" s="108">
        <f>('FS &amp; Trend Analysis'!E61-'FS &amp; Trend Analysis'!F61)/'FS &amp; Trend Analysis'!F61</f>
        <v>-3.9722863741339445E-2</v>
      </c>
      <c r="G63" s="108">
        <f>('FS &amp; Trend Analysis'!F61-'FS &amp; Trend Analysis'!G61)/'FS &amp; Trend Analysis'!G61</f>
        <v>-5.9753729818107414E-2</v>
      </c>
    </row>
    <row r="64" spans="2:7" x14ac:dyDescent="0.3">
      <c r="B64" s="17" t="s">
        <v>58</v>
      </c>
      <c r="C64" s="108">
        <f>('FS &amp; Trend Analysis'!B62-'FS &amp; Trend Analysis'!C62)/'FS &amp; Trend Analysis'!C62</f>
        <v>9.0108507626985371E-2</v>
      </c>
      <c r="D64" s="108">
        <f>('FS &amp; Trend Analysis'!C62-'FS &amp; Trend Analysis'!D62)/'FS &amp; Trend Analysis'!D62</f>
        <v>0.18386268012063903</v>
      </c>
      <c r="E64" s="108">
        <f>('FS &amp; Trend Analysis'!D62-'FS &amp; Trend Analysis'!E62)/'FS &amp; Trend Analysis'!E62</f>
        <v>0.12238543995653693</v>
      </c>
      <c r="F64" s="108">
        <f>('FS &amp; Trend Analysis'!E62-'FS &amp; Trend Analysis'!F62)/'FS &amp; Trend Analysis'!F62</f>
        <v>9.7272696007062079E-2</v>
      </c>
      <c r="G64" s="108">
        <f>('FS &amp; Trend Analysis'!F62-'FS &amp; Trend Analysis'!G62)/'FS &amp; Trend Analysis'!G62</f>
        <v>7.1451383088488168E-2</v>
      </c>
    </row>
    <row r="65" spans="2:7" x14ac:dyDescent="0.3">
      <c r="B65" s="111" t="s">
        <v>59</v>
      </c>
      <c r="C65" s="111"/>
      <c r="D65" s="111"/>
      <c r="E65" s="111"/>
      <c r="F65" s="111"/>
      <c r="G65" s="111"/>
    </row>
    <row r="66" spans="2:7" x14ac:dyDescent="0.3">
      <c r="B66" s="17" t="s">
        <v>60</v>
      </c>
      <c r="C66" s="107"/>
      <c r="D66" s="107"/>
      <c r="E66" s="107"/>
      <c r="F66" s="107"/>
      <c r="G66" s="107"/>
    </row>
    <row r="67" spans="2:7" x14ac:dyDescent="0.3">
      <c r="B67" s="38" t="s">
        <v>61</v>
      </c>
      <c r="C67" s="107">
        <f>('FS &amp; Trend Analysis'!B65-'FS &amp; Trend Analysis'!C65)/'FS &amp; Trend Analysis'!C65</f>
        <v>-2.2352941176470589E-2</v>
      </c>
      <c r="D67" s="107">
        <f>('FS &amp; Trend Analysis'!C65-'FS &amp; Trend Analysis'!D65)/'FS &amp; Trend Analysis'!D65</f>
        <v>7.1090047393364926E-3</v>
      </c>
      <c r="E67" s="107">
        <f>('FS &amp; Trend Analysis'!D65-'FS &amp; Trend Analysis'!E65)/'FS &amp; Trend Analysis'!E65</f>
        <v>-0.13727895328631295</v>
      </c>
      <c r="F67" s="107">
        <f>('FS &amp; Trend Analysis'!E65-'FS &amp; Trend Analysis'!F65)/'FS &amp; Trend Analysis'!F65</f>
        <v>-0.18570001664724498</v>
      </c>
      <c r="G67" s="107">
        <f>('FS &amp; Trend Analysis'!F65-'FS &amp; Trend Analysis'!G65)/'FS &amp; Trend Analysis'!G65</f>
        <v>8.7436640115858194E-2</v>
      </c>
    </row>
    <row r="68" spans="2:7" x14ac:dyDescent="0.3">
      <c r="B68" s="38" t="s">
        <v>62</v>
      </c>
      <c r="C68" s="107">
        <f>('FS &amp; Trend Analysis'!B66-'FS &amp; Trend Analysis'!C66)/'FS &amp; Trend Analysis'!C66</f>
        <v>-0.16630196936542668</v>
      </c>
      <c r="D68" s="107">
        <f>('FS &amp; Trend Analysis'!C66-'FS &amp; Trend Analysis'!D66)/'FS &amp; Trend Analysis'!D66</f>
        <v>1.0132158590308371</v>
      </c>
      <c r="E68" s="107">
        <f>('FS &amp; Trend Analysis'!D66-'FS &amp; Trend Analysis'!E66)/'FS &amp; Trend Analysis'!E66</f>
        <v>0.3151796060254925</v>
      </c>
      <c r="F68" s="107">
        <f>('FS &amp; Trend Analysis'!E66-'FS &amp; Trend Analysis'!F66)/'FS &amp; Trend Analysis'!F66</f>
        <v>-0.33768227168073683</v>
      </c>
      <c r="G68" s="107">
        <f>('FS &amp; Trend Analysis'!F66-'FS &amp; Trend Analysis'!G66)/'FS &amp; Trend Analysis'!G66</f>
        <v>0.58515815085158163</v>
      </c>
    </row>
    <row r="69" spans="2:7" x14ac:dyDescent="0.3">
      <c r="B69" s="38" t="s">
        <v>63</v>
      </c>
      <c r="C69" s="107">
        <f>('FS &amp; Trend Analysis'!B67-'FS &amp; Trend Analysis'!C67)/'FS &amp; Trend Analysis'!C67</f>
        <v>-2.7777777777777776E-2</v>
      </c>
      <c r="D69" s="107">
        <f>('FS &amp; Trend Analysis'!C67-'FS &amp; Trend Analysis'!D67)/'FS &amp; Trend Analysis'!D67</f>
        <v>0.94594594594594594</v>
      </c>
      <c r="E69" s="107">
        <f>('FS &amp; Trend Analysis'!D67-'FS &amp; Trend Analysis'!E67)/'FS &amp; Trend Analysis'!E67</f>
        <v>-0.44610778443113769</v>
      </c>
      <c r="F69" s="107">
        <f>('FS &amp; Trend Analysis'!E67-'FS &amp; Trend Analysis'!F67)/'FS &amp; Trend Analysis'!F67</f>
        <v>-0.2383124287343216</v>
      </c>
      <c r="G69" s="107">
        <f>('FS &amp; Trend Analysis'!F67-'FS &amp; Trend Analysis'!G67)/'FS &amp; Trend Analysis'!G67</f>
        <v>0.12291933418693994</v>
      </c>
    </row>
    <row r="70" spans="2:7" x14ac:dyDescent="0.3">
      <c r="B70" s="38" t="s">
        <v>64</v>
      </c>
      <c r="C70" s="107">
        <f>('FS &amp; Trend Analysis'!B68-'FS &amp; Trend Analysis'!C68)/'FS &amp; Trend Analysis'!C68</f>
        <v>-0.54166666666666663</v>
      </c>
      <c r="D70" s="107">
        <f>('FS &amp; Trend Analysis'!C68-'FS &amp; Trend Analysis'!D68)/'FS &amp; Trend Analysis'!D68</f>
        <v>-0.31428571428571428</v>
      </c>
      <c r="E70" s="107">
        <f>('FS &amp; Trend Analysis'!D68-'FS &amp; Trend Analysis'!E68)/'FS &amp; Trend Analysis'!E68</f>
        <v>0.12179487179487182</v>
      </c>
      <c r="F70" s="107">
        <f>('FS &amp; Trend Analysis'!E68-'FS &amp; Trend Analysis'!F68)/'FS &amp; Trend Analysis'!F68</f>
        <v>0.26829268292682917</v>
      </c>
      <c r="G70" s="107">
        <f>('FS &amp; Trend Analysis'!F68-'FS &amp; Trend Analysis'!G68)/'FS &amp; Trend Analysis'!G68</f>
        <v>-0.22151898734177214</v>
      </c>
    </row>
    <row r="71" spans="2:7" x14ac:dyDescent="0.3">
      <c r="B71" s="38" t="s">
        <v>65</v>
      </c>
      <c r="C71" s="107"/>
      <c r="D71" s="107"/>
      <c r="E71" s="107">
        <f>('FS &amp; Trend Analysis'!D69-'FS &amp; Trend Analysis'!E69)/'FS &amp; Trend Analysis'!E69</f>
        <v>-1</v>
      </c>
      <c r="F71" s="107">
        <f>('FS &amp; Trend Analysis'!E69-'FS &amp; Trend Analysis'!F69)/'FS &amp; Trend Analysis'!F69</f>
        <v>1</v>
      </c>
      <c r="G71" s="107">
        <f>('FS &amp; Trend Analysis'!F69-'FS &amp; Trend Analysis'!G69)/'FS &amp; Trend Analysis'!G69</f>
        <v>-4.7619047619047658E-2</v>
      </c>
    </row>
    <row r="72" spans="2:7" x14ac:dyDescent="0.3">
      <c r="B72" s="38" t="s">
        <v>66</v>
      </c>
      <c r="C72" s="107">
        <f>('FS &amp; Trend Analysis'!B70-'FS &amp; Trend Analysis'!C70)/'FS &amp; Trend Analysis'!C70</f>
        <v>-0.22666666666666666</v>
      </c>
      <c r="D72" s="107">
        <f>('FS &amp; Trend Analysis'!C70-'FS &amp; Trend Analysis'!D70)/'FS &amp; Trend Analysis'!D70</f>
        <v>-0.46043165467625902</v>
      </c>
      <c r="E72" s="107">
        <f>('FS &amp; Trend Analysis'!D70-'FS &amp; Trend Analysis'!E70)/'FS &amp; Trend Analysis'!E70</f>
        <v>4.4940711462450595</v>
      </c>
      <c r="F72" s="107" t="e">
        <f>('FS &amp; Trend Analysis'!E70-'FS &amp; Trend Analysis'!F70)/'FS &amp; Trend Analysis'!F70</f>
        <v>#DIV/0!</v>
      </c>
      <c r="G72" s="107" t="e">
        <f>('FS &amp; Trend Analysis'!F70-'FS &amp; Trend Analysis'!G70)/'FS &amp; Trend Analysis'!G70</f>
        <v>#DIV/0!</v>
      </c>
    </row>
    <row r="73" spans="2:7" x14ac:dyDescent="0.3">
      <c r="B73" s="42" t="s">
        <v>67</v>
      </c>
      <c r="C73" s="107"/>
      <c r="D73" s="107"/>
      <c r="E73" s="107"/>
      <c r="F73" s="107"/>
      <c r="G73" s="107"/>
    </row>
    <row r="74" spans="2:7" ht="28.8" x14ac:dyDescent="0.3">
      <c r="B74" s="38" t="s">
        <v>68</v>
      </c>
      <c r="C74" s="107">
        <f>('FS &amp; Trend Analysis'!B72-'FS &amp; Trend Analysis'!C72)/'FS &amp; Trend Analysis'!C72</f>
        <v>0.28632478632478631</v>
      </c>
      <c r="D74" s="107">
        <f>('FS &amp; Trend Analysis'!C72-'FS &amp; Trend Analysis'!D72)/'FS &amp; Trend Analysis'!D72</f>
        <v>4.4642857142857144E-2</v>
      </c>
      <c r="E74" s="107">
        <f>('FS &amp; Trend Analysis'!D72-'FS &amp; Trend Analysis'!E72)/'FS &amp; Trend Analysis'!E72</f>
        <v>8.7906750849927121E-2</v>
      </c>
      <c r="F74" s="107">
        <f>('FS &amp; Trend Analysis'!E72-'FS &amp; Trend Analysis'!F72)/'FS &amp; Trend Analysis'!F72</f>
        <v>-5.0714615029967727E-2</v>
      </c>
      <c r="G74" s="107">
        <f>('FS &amp; Trend Analysis'!F72-'FS &amp; Trend Analysis'!G72)/'FS &amp; Trend Analysis'!G72</f>
        <v>7.3231073725878337E-2</v>
      </c>
    </row>
    <row r="75" spans="2:7" x14ac:dyDescent="0.3">
      <c r="B75" s="38" t="s">
        <v>70</v>
      </c>
      <c r="C75" s="107">
        <f>('FS &amp; Trend Analysis'!B73-'FS &amp; Trend Analysis'!C73)/'FS &amp; Trend Analysis'!C73</f>
        <v>3.2352941176470591E-2</v>
      </c>
      <c r="D75" s="107">
        <f>('FS &amp; Trend Analysis'!C73-'FS &amp; Trend Analysis'!D73)/'FS &amp; Trend Analysis'!D73</f>
        <v>-6.8493150684931503E-2</v>
      </c>
      <c r="E75" s="107" t="e">
        <f>('FS &amp; Trend Analysis'!D73-'FS &amp; Trend Analysis'!E73)/'FS &amp; Trend Analysis'!E73</f>
        <v>#DIV/0!</v>
      </c>
      <c r="F75" s="107" t="e">
        <f>('FS &amp; Trend Analysis'!E73-'FS &amp; Trend Analysis'!F73)/'FS &amp; Trend Analysis'!F73</f>
        <v>#DIV/0!</v>
      </c>
      <c r="G75" s="107" t="e">
        <f>('FS &amp; Trend Analysis'!F73-'FS &amp; Trend Analysis'!G73)/'FS &amp; Trend Analysis'!G73</f>
        <v>#DIV/0!</v>
      </c>
    </row>
    <row r="76" spans="2:7" x14ac:dyDescent="0.3">
      <c r="B76" s="38" t="s">
        <v>71</v>
      </c>
      <c r="C76" s="107"/>
      <c r="D76" s="107"/>
      <c r="E76" s="107"/>
      <c r="F76" s="107"/>
      <c r="G76" s="107">
        <f>('FS &amp; Trend Analysis'!F74-'FS &amp; Trend Analysis'!G74)/'FS &amp; Trend Analysis'!G74</f>
        <v>-1</v>
      </c>
    </row>
    <row r="77" spans="2:7" x14ac:dyDescent="0.3">
      <c r="B77" s="38" t="s">
        <v>72</v>
      </c>
      <c r="C77" s="107">
        <f>('FS &amp; Trend Analysis'!B75-'FS &amp; Trend Analysis'!C75)/'FS &amp; Trend Analysis'!C75</f>
        <v>-0.19791666666666666</v>
      </c>
      <c r="D77" s="107">
        <f>('FS &amp; Trend Analysis'!C75-'FS &amp; Trend Analysis'!D75)/'FS &amp; Trend Analysis'!D75</f>
        <v>2.4285714285714284</v>
      </c>
      <c r="E77" s="107">
        <f>('FS &amp; Trend Analysis'!D75-'FS &amp; Trend Analysis'!E75)/'FS &amp; Trend Analysis'!E75</f>
        <v>-0.2339261285909712</v>
      </c>
      <c r="F77" s="107">
        <f>('FS &amp; Trend Analysis'!E75-'FS &amp; Trend Analysis'!F75)/'FS &amp; Trend Analysis'!F75</f>
        <v>-1.2829169480081065E-2</v>
      </c>
      <c r="G77" s="107">
        <f>('FS &amp; Trend Analysis'!F75-'FS &amp; Trend Analysis'!G75)/'FS &amp; Trend Analysis'!G75</f>
        <v>0.86994949494949481</v>
      </c>
    </row>
    <row r="78" spans="2:7" x14ac:dyDescent="0.3">
      <c r="B78" s="38" t="s">
        <v>73</v>
      </c>
      <c r="C78" s="107">
        <f>('FS &amp; Trend Analysis'!B76-'FS &amp; Trend Analysis'!C76)/'FS &amp; Trend Analysis'!C76</f>
        <v>0.83225806451612905</v>
      </c>
      <c r="D78" s="107">
        <f>('FS &amp; Trend Analysis'!C76-'FS &amp; Trend Analysis'!D76)/'FS &amp; Trend Analysis'!D76</f>
        <v>-0.12429378531073447</v>
      </c>
      <c r="E78" s="107">
        <f>('FS &amp; Trend Analysis'!D76-'FS &amp; Trend Analysis'!E76)/'FS &amp; Trend Analysis'!E76</f>
        <v>0.1252383979656706</v>
      </c>
      <c r="F78" s="107">
        <f>('FS &amp; Trend Analysis'!E76-'FS &amp; Trend Analysis'!F76)/'FS &amp; Trend Analysis'!F76</f>
        <v>0.10154061624649859</v>
      </c>
      <c r="G78" s="107">
        <f>('FS &amp; Trend Analysis'!F76-'FS &amp; Trend Analysis'!G76)/'FS &amp; Trend Analysis'!G76</f>
        <v>-0.16540035067212147</v>
      </c>
    </row>
    <row r="79" spans="2:7" x14ac:dyDescent="0.3">
      <c r="B79" s="38" t="s">
        <v>74</v>
      </c>
      <c r="C79" s="107">
        <f>('FS &amp; Trend Analysis'!B77-'FS &amp; Trend Analysis'!C77)/'FS &amp; Trend Analysis'!C77</f>
        <v>8.7671232876712329E-2</v>
      </c>
      <c r="D79" s="107">
        <f>('FS &amp; Trend Analysis'!C77-'FS &amp; Trend Analysis'!D77)/'FS &amp; Trend Analysis'!D77</f>
        <v>-0.18768545994065283</v>
      </c>
      <c r="E79" s="107">
        <f>('FS &amp; Trend Analysis'!D77-'FS &amp; Trend Analysis'!E77)/'FS &amp; Trend Analysis'!E77</f>
        <v>2.7909104773524405E-2</v>
      </c>
      <c r="F79" s="107">
        <f>('FS &amp; Trend Analysis'!E77-'FS &amp; Trend Analysis'!F77)/'FS &amp; Trend Analysis'!F77</f>
        <v>8.496732026143794E-2</v>
      </c>
      <c r="G79" s="107">
        <f>('FS &amp; Trend Analysis'!F77-'FS &amp; Trend Analysis'!G77)/'FS &amp; Trend Analysis'!G77</f>
        <v>0.16591106395292754</v>
      </c>
    </row>
    <row r="80" spans="2:7" x14ac:dyDescent="0.3">
      <c r="B80" s="38" t="s">
        <v>75</v>
      </c>
      <c r="C80" s="107">
        <f>('FS &amp; Trend Analysis'!B78-'FS &amp; Trend Analysis'!C78)/'FS &amp; Trend Analysis'!C78</f>
        <v>0.2744186046511628</v>
      </c>
      <c r="D80" s="107">
        <f>('FS &amp; Trend Analysis'!C78-'FS &amp; Trend Analysis'!D78)/'FS &amp; Trend Analysis'!D78</f>
        <v>-4.6296296296296294E-3</v>
      </c>
      <c r="E80" s="107">
        <f>('FS &amp; Trend Analysis'!D78-'FS &amp; Trend Analysis'!E78)/'FS &amp; Trend Analysis'!E78</f>
        <v>-9.698996655518391E-2</v>
      </c>
      <c r="F80" s="107">
        <f>('FS &amp; Trend Analysis'!E78-'FS &amp; Trend Analysis'!F78)/'FS &amp; Trend Analysis'!F78</f>
        <v>2.1349274124679761E-2</v>
      </c>
      <c r="G80" s="107">
        <f>('FS &amp; Trend Analysis'!F78-'FS &amp; Trend Analysis'!G78)/'FS &amp; Trend Analysis'!G78</f>
        <v>-0.19629375428963622</v>
      </c>
    </row>
    <row r="81" spans="2:7" x14ac:dyDescent="0.3">
      <c r="B81" s="17" t="s">
        <v>76</v>
      </c>
      <c r="C81" s="107">
        <f>('FS &amp; Trend Analysis'!B79-'FS &amp; Trend Analysis'!C79)/'FS &amp; Trend Analysis'!C79</f>
        <v>4.075877980005127E-2</v>
      </c>
      <c r="D81" s="107">
        <f>('FS &amp; Trend Analysis'!C79-'FS &amp; Trend Analysis'!D79)/'FS &amp; Trend Analysis'!D79</f>
        <v>4.7529538131041889E-2</v>
      </c>
      <c r="E81" s="107">
        <f>('FS &amp; Trend Analysis'!D79-'FS &amp; Trend Analysis'!E79)/'FS &amp; Trend Analysis'!E79</f>
        <v>0.11157542833263692</v>
      </c>
      <c r="F81" s="107">
        <f>('FS &amp; Trend Analysis'!E79-'FS &amp; Trend Analysis'!F79)/'FS &amp; Trend Analysis'!F79</f>
        <v>-5.1740730257571518E-2</v>
      </c>
      <c r="G81" s="107">
        <f>('FS &amp; Trend Analysis'!F79-'FS &amp; Trend Analysis'!G79)/'FS &amp; Trend Analysis'!G79</f>
        <v>5.7151406343506884E-2</v>
      </c>
    </row>
    <row r="82" spans="2:7" x14ac:dyDescent="0.3">
      <c r="B82" s="10"/>
      <c r="C82" s="107"/>
      <c r="D82" s="107"/>
      <c r="E82" s="107"/>
      <c r="F82" s="107"/>
      <c r="G82" s="107"/>
    </row>
    <row r="83" spans="2:7" x14ac:dyDescent="0.3">
      <c r="B83" s="17" t="s">
        <v>77</v>
      </c>
      <c r="C83" s="107"/>
      <c r="D83" s="107"/>
      <c r="E83" s="107"/>
      <c r="F83" s="107"/>
      <c r="G83" s="107"/>
    </row>
    <row r="84" spans="2:7" x14ac:dyDescent="0.3">
      <c r="B84" s="38" t="s">
        <v>78</v>
      </c>
      <c r="C84" s="107">
        <f>('FS &amp; Trend Analysis'!B82-'FS &amp; Trend Analysis'!C82)/'FS &amp; Trend Analysis'!C82</f>
        <v>0.15357917570498916</v>
      </c>
      <c r="D84" s="107">
        <f>('FS &amp; Trend Analysis'!C82-'FS &amp; Trend Analysis'!D82)/'FS &amp; Trend Analysis'!D82</f>
        <v>0.11730489578284052</v>
      </c>
      <c r="E84" s="107">
        <f>('FS &amp; Trend Analysis'!D82-'FS &amp; Trend Analysis'!E82)/'FS &amp; Trend Analysis'!E82</f>
        <v>-7.4887892376681614E-2</v>
      </c>
      <c r="F84" s="107">
        <f>('FS &amp; Trend Analysis'!E82-'FS &amp; Trend Analysis'!F82)/'FS &amp; Trend Analysis'!F82</f>
        <v>3.0356235272374354E-2</v>
      </c>
      <c r="G84" s="107">
        <f>('FS &amp; Trend Analysis'!F82-'FS &amp; Trend Analysis'!G82)/'FS &amp; Trend Analysis'!G82</f>
        <v>9.2529025744573543E-2</v>
      </c>
    </row>
    <row r="85" spans="2:7" x14ac:dyDescent="0.3">
      <c r="B85" s="42" t="s">
        <v>67</v>
      </c>
      <c r="C85" s="107"/>
      <c r="D85" s="107"/>
      <c r="E85" s="107"/>
      <c r="F85" s="107"/>
      <c r="G85" s="107"/>
    </row>
    <row r="86" spans="2:7" x14ac:dyDescent="0.3">
      <c r="B86" s="38" t="s">
        <v>79</v>
      </c>
      <c r="C86" s="107">
        <f>('FS &amp; Trend Analysis'!B84-'FS &amp; Trend Analysis'!C84)/'FS &amp; Trend Analysis'!C84</f>
        <v>0.3207331042382589</v>
      </c>
      <c r="D86" s="107">
        <f>('FS &amp; Trend Analysis'!C84-'FS &amp; Trend Analysis'!D84)/'FS &amp; Trend Analysis'!D84</f>
        <v>0.45742904841402338</v>
      </c>
      <c r="E86" s="107">
        <f>('FS &amp; Trend Analysis'!D84-'FS &amp; Trend Analysis'!E84)/'FS &amp; Trend Analysis'!E84</f>
        <v>1.341673182173573</v>
      </c>
      <c r="F86" s="107">
        <f>('FS &amp; Trend Analysis'!E84-'FS &amp; Trend Analysis'!F84)/'FS &amp; Trend Analysis'!F84</f>
        <v>0.15173345339936972</v>
      </c>
      <c r="G86" s="107" t="e">
        <f>('FS &amp; Trend Analysis'!F84-'FS &amp; Trend Analysis'!G84)/'FS &amp; Trend Analysis'!G84</f>
        <v>#DIV/0!</v>
      </c>
    </row>
    <row r="87" spans="2:7" x14ac:dyDescent="0.3">
      <c r="B87" s="38" t="s">
        <v>70</v>
      </c>
      <c r="C87" s="107">
        <f>('FS &amp; Trend Analysis'!B85-'FS &amp; Trend Analysis'!C85)/'FS &amp; Trend Analysis'!C85</f>
        <v>9.2457420924574207E-2</v>
      </c>
      <c r="D87" s="107">
        <f>('FS &amp; Trend Analysis'!C85-'FS &amp; Trend Analysis'!D85)/'FS &amp; Trend Analysis'!D85</f>
        <v>0.19001085776330076</v>
      </c>
      <c r="E87" s="107">
        <f>('FS &amp; Trend Analysis'!D85-'FS &amp; Trend Analysis'!E85)/'FS &amp; Trend Analysis'!E85</f>
        <v>0.15956018129931165</v>
      </c>
      <c r="F87" s="107">
        <f>('FS &amp; Trend Analysis'!E85-'FS &amp; Trend Analysis'!F85)/'FS &amp; Trend Analysis'!F85</f>
        <v>3.5054949828417649E-2</v>
      </c>
      <c r="G87" s="107">
        <f>('FS &amp; Trend Analysis'!F85-'FS &amp; Trend Analysis'!G85)/'FS &amp; Trend Analysis'!G85</f>
        <v>6.5737697328827366E-2</v>
      </c>
    </row>
    <row r="88" spans="2:7" x14ac:dyDescent="0.3">
      <c r="B88" s="38" t="s">
        <v>80</v>
      </c>
      <c r="C88" s="107">
        <f>('FS &amp; Trend Analysis'!B86-'FS &amp; Trend Analysis'!C86)/'FS &amp; Trend Analysis'!C86</f>
        <v>-0.2565217391304348</v>
      </c>
      <c r="D88" s="107">
        <f>('FS &amp; Trend Analysis'!C86-'FS &amp; Trend Analysis'!D86)/'FS &amp; Trend Analysis'!D86</f>
        <v>0.12634671890303623</v>
      </c>
      <c r="E88" s="107">
        <f>('FS &amp; Trend Analysis'!D86-'FS &amp; Trend Analysis'!E86)/'FS &amp; Trend Analysis'!E86</f>
        <v>11.542997542997542</v>
      </c>
      <c r="F88" s="107">
        <f>('FS &amp; Trend Analysis'!E86-'FS &amp; Trend Analysis'!F86)/'FS &amp; Trend Analysis'!F86</f>
        <v>2.0148148148148151</v>
      </c>
      <c r="G88" s="107">
        <f>('FS &amp; Trend Analysis'!F86-'FS &amp; Trend Analysis'!G86)/'FS &amp; Trend Analysis'!G86</f>
        <v>-0.45121951219512196</v>
      </c>
    </row>
    <row r="89" spans="2:7" ht="28.8" x14ac:dyDescent="0.3">
      <c r="B89" s="38" t="s">
        <v>81</v>
      </c>
      <c r="C89" s="107">
        <f>('FS &amp; Trend Analysis'!B87-'FS &amp; Trend Analysis'!C87)/'FS &amp; Trend Analysis'!C87</f>
        <v>0.6484751203852327</v>
      </c>
      <c r="D89" s="107">
        <f>('FS &amp; Trend Analysis'!C87-'FS &amp; Trend Analysis'!D87)/'FS &amp; Trend Analysis'!D87</f>
        <v>2.3138297872340425</v>
      </c>
      <c r="E89" s="107">
        <f>('FS &amp; Trend Analysis'!D87-'FS &amp; Trend Analysis'!E87)/'FS &amp; Trend Analysis'!E87</f>
        <v>1.4479166666666667</v>
      </c>
      <c r="F89" s="107">
        <f>('FS &amp; Trend Analysis'!E87-'FS &amp; Trend Analysis'!F87)/'FS &amp; Trend Analysis'!F87</f>
        <v>12.241379310344827</v>
      </c>
      <c r="G89" s="107">
        <f>('FS &amp; Trend Analysis'!F87-'FS &amp; Trend Analysis'!G87)/'FS &amp; Trend Analysis'!G87</f>
        <v>-4.918032786885243E-2</v>
      </c>
    </row>
    <row r="90" spans="2:7" x14ac:dyDescent="0.3">
      <c r="B90" s="38" t="s">
        <v>71</v>
      </c>
      <c r="C90" s="107">
        <f>('FS &amp; Trend Analysis'!B88-'FS &amp; Trend Analysis'!C88)/'FS &amp; Trend Analysis'!C88</f>
        <v>-0.95454545454545459</v>
      </c>
      <c r="D90" s="107">
        <f>('FS &amp; Trend Analysis'!C88-'FS &amp; Trend Analysis'!D88)/'FS &amp; Trend Analysis'!D88</f>
        <v>1.2</v>
      </c>
      <c r="E90" s="107">
        <f>('FS &amp; Trend Analysis'!D88-'FS &amp; Trend Analysis'!E88)/'FS &amp; Trend Analysis'!E88</f>
        <v>-0.90800367985280594</v>
      </c>
      <c r="F90" s="107">
        <f>('FS &amp; Trend Analysis'!E88-'FS &amp; Trend Analysis'!F88)/'FS &amp; Trend Analysis'!F88</f>
        <v>-0.21685878962536029</v>
      </c>
      <c r="G90" s="107">
        <f>('FS &amp; Trend Analysis'!F88-'FS &amp; Trend Analysis'!G88)/'FS &amp; Trend Analysis'!G88</f>
        <v>0.38109452736318417</v>
      </c>
    </row>
    <row r="91" spans="2:7" x14ac:dyDescent="0.3">
      <c r="B91" s="38" t="s">
        <v>72</v>
      </c>
      <c r="C91" s="107">
        <f>('FS &amp; Trend Analysis'!B89-'FS &amp; Trend Analysis'!C89)/'FS &amp; Trend Analysis'!C89</f>
        <v>-0.77220077220077221</v>
      </c>
      <c r="D91" s="107">
        <f>('FS &amp; Trend Analysis'!C89-'FS &amp; Trend Analysis'!D89)/'FS &amp; Trend Analysis'!D89</f>
        <v>5.4749999999999996</v>
      </c>
      <c r="E91" s="107">
        <f>('FS &amp; Trend Analysis'!D89-'FS &amp; Trend Analysis'!E89)/'FS &amp; Trend Analysis'!E89</f>
        <v>-0.706959706959707</v>
      </c>
      <c r="F91" s="107">
        <f>('FS &amp; Trend Analysis'!E89-'FS &amp; Trend Analysis'!F89)/'FS &amp; Trend Analysis'!F89</f>
        <v>0.69354838709677435</v>
      </c>
      <c r="G91" s="107">
        <f>('FS &amp; Trend Analysis'!F89-'FS &amp; Trend Analysis'!G89)/'FS &amp; Trend Analysis'!G89</f>
        <v>-0.60625305324865653</v>
      </c>
    </row>
    <row r="92" spans="2:7" x14ac:dyDescent="0.3">
      <c r="B92" s="38" t="s">
        <v>82</v>
      </c>
      <c r="C92" s="107">
        <f>('FS &amp; Trend Analysis'!B90-'FS &amp; Trend Analysis'!C90)/'FS &amp; Trend Analysis'!C90</f>
        <v>0.3164983164983165</v>
      </c>
      <c r="D92" s="107">
        <f>('FS &amp; Trend Analysis'!C90-'FS &amp; Trend Analysis'!D90)/'FS &amp; Trend Analysis'!D90</f>
        <v>-0.11077844311377245</v>
      </c>
      <c r="E92" s="107">
        <f>('FS &amp; Trend Analysis'!D90-'FS &amp; Trend Analysis'!E90)/'FS &amp; Trend Analysis'!E90</f>
        <v>0.29557796741660197</v>
      </c>
      <c r="F92" s="107">
        <f>('FS &amp; Trend Analysis'!E90-'FS &amp; Trend Analysis'!F90)/'FS &amp; Trend Analysis'!F90</f>
        <v>3.5341365461847435E-2</v>
      </c>
      <c r="G92" s="107">
        <f>('FS &amp; Trend Analysis'!F90-'FS &amp; Trend Analysis'!G90)/'FS &amp; Trend Analysis'!G90</f>
        <v>-0.1633064516129033</v>
      </c>
    </row>
    <row r="93" spans="2:7" x14ac:dyDescent="0.3">
      <c r="B93" s="38" t="s">
        <v>83</v>
      </c>
      <c r="C93" s="107"/>
      <c r="D93" s="107"/>
      <c r="E93" s="107"/>
      <c r="F93" s="107"/>
      <c r="G93" s="107"/>
    </row>
    <row r="94" spans="2:7" x14ac:dyDescent="0.3">
      <c r="B94" s="17" t="s">
        <v>84</v>
      </c>
      <c r="C94" s="107">
        <f>('FS &amp; Trend Analysis'!B92-'FS &amp; Trend Analysis'!C92)/'FS &amp; Trend Analysis'!C92</f>
        <v>0.11194283769989792</v>
      </c>
      <c r="D94" s="107">
        <f>('FS &amp; Trend Analysis'!C92-'FS &amp; Trend Analysis'!D92)/'FS &amp; Trend Analysis'!D92</f>
        <v>0.25634083784554001</v>
      </c>
      <c r="E94" s="107">
        <f>('FS &amp; Trend Analysis'!D92-'FS &amp; Trend Analysis'!E92)/'FS &amp; Trend Analysis'!E92</f>
        <v>0.26912365727512744</v>
      </c>
      <c r="F94" s="107">
        <f>('FS &amp; Trend Analysis'!E92-'FS &amp; Trend Analysis'!F92)/'FS &amp; Trend Analysis'!F92</f>
        <v>6.5533653197679911E-2</v>
      </c>
      <c r="G94" s="107">
        <f>('FS &amp; Trend Analysis'!F92-'FS &amp; Trend Analysis'!G92)/'FS &amp; Trend Analysis'!G92</f>
        <v>8.1367727954659103E-2</v>
      </c>
    </row>
    <row r="95" spans="2:7" x14ac:dyDescent="0.3">
      <c r="B95" s="17" t="s">
        <v>85</v>
      </c>
      <c r="C95" s="107">
        <f>('FS &amp; Trend Analysis'!B93-'FS &amp; Trend Analysis'!C93)/'FS &amp; Trend Analysis'!C93</f>
        <v>9.0108507626985371E-2</v>
      </c>
      <c r="D95" s="107">
        <f>('FS &amp; Trend Analysis'!C93-'FS &amp; Trend Analysis'!D93)/'FS &amp; Trend Analysis'!D93</f>
        <v>0.1839508471420592</v>
      </c>
      <c r="E95" s="107">
        <f>('FS &amp; Trend Analysis'!D93-'FS &amp; Trend Analysis'!E93)/'FS &amp; Trend Analysis'!E93</f>
        <v>0.20968468468468468</v>
      </c>
      <c r="F95" s="107">
        <f>('FS &amp; Trend Analysis'!E93-'FS &amp; Trend Analysis'!F93)/'FS &amp; Trend Analysis'!F93</f>
        <v>1.8033407087255007E-2</v>
      </c>
      <c r="G95" s="107">
        <f>('FS &amp; Trend Analysis'!F93-'FS &amp; Trend Analysis'!G93)/'FS &amp; Trend Analysis'!G93</f>
        <v>7.1426816685500896E-2</v>
      </c>
    </row>
  </sheetData>
  <mergeCells count="2">
    <mergeCell ref="B41:G41"/>
    <mergeCell ref="B65:G6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4"/>
  <sheetViews>
    <sheetView showGridLines="0" topLeftCell="A94" zoomScale="99" zoomScaleNormal="99" workbookViewId="0">
      <pane xSplit="1" topLeftCell="B1" activePane="topRight" state="frozen"/>
      <selection pane="topRight" activeCell="H76" sqref="H76"/>
    </sheetView>
  </sheetViews>
  <sheetFormatPr defaultColWidth="8.88671875" defaultRowHeight="14.4" x14ac:dyDescent="0.3"/>
  <cols>
    <col min="1" max="1" width="76" style="1" customWidth="1"/>
    <col min="2" max="7" width="17.5546875" style="1" customWidth="1"/>
    <col min="8" max="16384" width="8.88671875" style="1"/>
  </cols>
  <sheetData>
    <row r="1" spans="1:6" x14ac:dyDescent="0.3">
      <c r="A1" s="5" t="s">
        <v>136</v>
      </c>
    </row>
    <row r="3" spans="1:6" x14ac:dyDescent="0.3">
      <c r="A3" s="5" t="s">
        <v>4</v>
      </c>
    </row>
    <row r="4" spans="1:6" x14ac:dyDescent="0.3">
      <c r="A4" s="50" t="s">
        <v>137</v>
      </c>
      <c r="B4" s="82" t="s">
        <v>138</v>
      </c>
      <c r="C4" s="82" t="s">
        <v>139</v>
      </c>
      <c r="D4" s="82" t="s">
        <v>140</v>
      </c>
      <c r="E4" s="82" t="s">
        <v>141</v>
      </c>
      <c r="F4" s="82" t="s">
        <v>142</v>
      </c>
    </row>
    <row r="5" spans="1:6" x14ac:dyDescent="0.3">
      <c r="A5" s="38" t="s">
        <v>143</v>
      </c>
      <c r="B5" s="83">
        <v>283</v>
      </c>
      <c r="C5" s="83">
        <v>274</v>
      </c>
      <c r="D5" s="83">
        <v>264</v>
      </c>
      <c r="E5" s="83">
        <v>270.60000000000002</v>
      </c>
      <c r="F5" s="83">
        <v>288.60000000000002</v>
      </c>
    </row>
    <row r="6" spans="1:6" x14ac:dyDescent="0.3">
      <c r="A6" s="38" t="s">
        <v>144</v>
      </c>
      <c r="B6" s="83">
        <v>22</v>
      </c>
      <c r="C6" s="83">
        <v>17</v>
      </c>
      <c r="D6" s="83">
        <v>37</v>
      </c>
      <c r="E6" s="83">
        <v>23.3</v>
      </c>
      <c r="F6" s="83">
        <v>25.2</v>
      </c>
    </row>
    <row r="7" spans="1:6" x14ac:dyDescent="0.3">
      <c r="A7" s="38" t="s">
        <v>145</v>
      </c>
      <c r="B7" s="83">
        <v>35</v>
      </c>
      <c r="C7" s="83">
        <v>-9</v>
      </c>
      <c r="D7" s="83">
        <v>41</v>
      </c>
      <c r="E7" s="83">
        <v>-12</v>
      </c>
      <c r="F7" s="83">
        <v>-12.9</v>
      </c>
    </row>
    <row r="8" spans="1:6" x14ac:dyDescent="0.3">
      <c r="A8" s="38" t="s">
        <v>146</v>
      </c>
      <c r="B8" s="83">
        <v>0</v>
      </c>
      <c r="C8" s="83">
        <v>0</v>
      </c>
      <c r="D8" s="83">
        <v>0</v>
      </c>
      <c r="E8" s="83">
        <v>17.3</v>
      </c>
      <c r="F8" s="83">
        <v>15.8</v>
      </c>
    </row>
    <row r="9" spans="1:6" x14ac:dyDescent="0.3">
      <c r="A9" s="38" t="s">
        <v>147</v>
      </c>
      <c r="B9" s="83">
        <v>-77</v>
      </c>
      <c r="C9" s="83">
        <v>-25</v>
      </c>
      <c r="D9" s="83">
        <v>-42</v>
      </c>
      <c r="E9" s="83">
        <v>-16.600000000000001</v>
      </c>
      <c r="F9" s="83">
        <v>0</v>
      </c>
    </row>
    <row r="10" spans="1:6" x14ac:dyDescent="0.3">
      <c r="A10" s="38" t="s">
        <v>148</v>
      </c>
      <c r="B10" s="83">
        <v>-31</v>
      </c>
      <c r="C10" s="83">
        <v>-16</v>
      </c>
      <c r="D10" s="83">
        <v>-18</v>
      </c>
      <c r="E10" s="83">
        <v>-2.5</v>
      </c>
      <c r="F10" s="83">
        <v>0</v>
      </c>
    </row>
    <row r="11" spans="1:6" x14ac:dyDescent="0.3">
      <c r="A11" s="38" t="s">
        <v>149</v>
      </c>
      <c r="B11" s="83">
        <v>158</v>
      </c>
      <c r="C11" s="83">
        <v>89</v>
      </c>
      <c r="D11" s="83">
        <v>76</v>
      </c>
      <c r="E11" s="83">
        <v>103.9</v>
      </c>
      <c r="F11" s="83">
        <v>88</v>
      </c>
    </row>
    <row r="12" spans="1:6" x14ac:dyDescent="0.3">
      <c r="A12" s="38" t="s">
        <v>150</v>
      </c>
      <c r="B12" s="83">
        <v>-101</v>
      </c>
      <c r="C12" s="83">
        <v>-120</v>
      </c>
      <c r="D12" s="83">
        <v>-125</v>
      </c>
      <c r="E12" s="83">
        <v>0</v>
      </c>
      <c r="F12" s="83">
        <v>0</v>
      </c>
    </row>
    <row r="13" spans="1:6" x14ac:dyDescent="0.3">
      <c r="A13" s="38" t="s">
        <v>151</v>
      </c>
      <c r="B13" s="83">
        <v>-22</v>
      </c>
      <c r="C13" s="83">
        <v>-99</v>
      </c>
      <c r="D13" s="83">
        <v>-13</v>
      </c>
      <c r="E13" s="83">
        <v>-20.3</v>
      </c>
      <c r="F13" s="83">
        <v>-12.3</v>
      </c>
    </row>
    <row r="14" spans="1:6" x14ac:dyDescent="0.3">
      <c r="A14" s="38" t="s">
        <v>152</v>
      </c>
      <c r="B14" s="83">
        <v>-76</v>
      </c>
      <c r="C14" s="83">
        <v>-73</v>
      </c>
      <c r="D14" s="83">
        <v>-39</v>
      </c>
      <c r="E14" s="83">
        <v>-34.200000000000003</v>
      </c>
      <c r="F14" s="83">
        <v>-19.399999999999999</v>
      </c>
    </row>
    <row r="15" spans="1:6" x14ac:dyDescent="0.3">
      <c r="A15" s="38" t="s">
        <v>153</v>
      </c>
      <c r="B15" s="83">
        <v>-1</v>
      </c>
      <c r="C15" s="83">
        <v>-1</v>
      </c>
      <c r="D15" s="83">
        <v>-87</v>
      </c>
      <c r="E15" s="83">
        <v>0</v>
      </c>
      <c r="F15" s="83">
        <v>0</v>
      </c>
    </row>
    <row r="16" spans="1:6" x14ac:dyDescent="0.3">
      <c r="A16" s="38" t="s">
        <v>154</v>
      </c>
      <c r="B16" s="83">
        <v>-1</v>
      </c>
      <c r="C16" s="83">
        <v>-1</v>
      </c>
      <c r="D16" s="83">
        <v>0</v>
      </c>
      <c r="E16" s="83">
        <v>0</v>
      </c>
      <c r="F16" s="83">
        <v>0</v>
      </c>
    </row>
    <row r="17" spans="1:6" x14ac:dyDescent="0.3">
      <c r="A17" s="38" t="s">
        <v>155</v>
      </c>
      <c r="B17" s="83">
        <v>91</v>
      </c>
      <c r="C17" s="83">
        <v>65</v>
      </c>
      <c r="D17" s="83">
        <v>-31</v>
      </c>
      <c r="E17" s="83">
        <v>-379.6</v>
      </c>
      <c r="F17" s="83">
        <v>156</v>
      </c>
    </row>
    <row r="18" spans="1:6" x14ac:dyDescent="0.3">
      <c r="A18" s="38" t="s">
        <v>156</v>
      </c>
      <c r="B18" s="83">
        <v>0</v>
      </c>
      <c r="C18" s="83">
        <v>1</v>
      </c>
      <c r="D18" s="83">
        <v>4</v>
      </c>
      <c r="E18" s="83">
        <v>0.7</v>
      </c>
      <c r="F18" s="83">
        <v>-0.4</v>
      </c>
    </row>
    <row r="19" spans="1:6" x14ac:dyDescent="0.3">
      <c r="A19" s="42" t="s">
        <v>157</v>
      </c>
      <c r="B19" s="84">
        <v>2380</v>
      </c>
      <c r="C19" s="84">
        <v>2133</v>
      </c>
      <c r="D19" s="84">
        <v>1801</v>
      </c>
      <c r="E19" s="84">
        <v>1448.6</v>
      </c>
      <c r="F19" s="84">
        <v>1540.1</v>
      </c>
    </row>
    <row r="20" spans="1:6" x14ac:dyDescent="0.3">
      <c r="A20" s="38" t="s">
        <v>158</v>
      </c>
      <c r="B20" s="83">
        <v>-350</v>
      </c>
      <c r="C20" s="83">
        <v>-494</v>
      </c>
      <c r="D20" s="83">
        <v>-804</v>
      </c>
      <c r="E20" s="83">
        <v>-296.60000000000002</v>
      </c>
      <c r="F20" s="83">
        <v>-160.30000000000001</v>
      </c>
    </row>
    <row r="21" spans="1:6" x14ac:dyDescent="0.3">
      <c r="A21" s="38" t="s">
        <v>159</v>
      </c>
      <c r="B21" s="83">
        <v>36</v>
      </c>
      <c r="C21" s="83">
        <v>-40</v>
      </c>
      <c r="D21" s="83">
        <v>150</v>
      </c>
      <c r="E21" s="83">
        <v>-91.6</v>
      </c>
      <c r="F21" s="83">
        <v>174.7</v>
      </c>
    </row>
    <row r="22" spans="1:6" x14ac:dyDescent="0.3">
      <c r="A22" s="38" t="s">
        <v>160</v>
      </c>
      <c r="B22" s="83">
        <v>-139</v>
      </c>
      <c r="C22" s="83">
        <v>49</v>
      </c>
      <c r="D22" s="83">
        <v>-50</v>
      </c>
      <c r="E22" s="83">
        <v>-115.8</v>
      </c>
      <c r="F22" s="83">
        <v>-34.299999999999997</v>
      </c>
    </row>
    <row r="23" spans="1:6" x14ac:dyDescent="0.3">
      <c r="A23" s="38" t="s">
        <v>161</v>
      </c>
      <c r="B23" s="83">
        <v>-354</v>
      </c>
      <c r="C23" s="83">
        <v>-242</v>
      </c>
      <c r="D23" s="83">
        <v>163</v>
      </c>
      <c r="E23" s="83">
        <v>-254.3</v>
      </c>
      <c r="F23" s="83">
        <v>-112.5</v>
      </c>
    </row>
    <row r="24" spans="1:6" x14ac:dyDescent="0.3">
      <c r="A24" s="38" t="s">
        <v>162</v>
      </c>
      <c r="B24" s="83">
        <v>225</v>
      </c>
      <c r="C24" s="83">
        <v>290</v>
      </c>
      <c r="D24" s="83">
        <v>50</v>
      </c>
      <c r="E24" s="83">
        <v>220</v>
      </c>
      <c r="F24" s="83">
        <v>96.9</v>
      </c>
    </row>
    <row r="25" spans="1:6" x14ac:dyDescent="0.3">
      <c r="A25" s="38" t="s">
        <v>163</v>
      </c>
      <c r="B25" s="83">
        <v>-1</v>
      </c>
      <c r="C25" s="83">
        <v>-76</v>
      </c>
      <c r="D25" s="83">
        <v>-116</v>
      </c>
      <c r="E25" s="83">
        <v>9.6999999999999993</v>
      </c>
      <c r="F25" s="83">
        <v>0.3</v>
      </c>
    </row>
    <row r="26" spans="1:6" x14ac:dyDescent="0.3">
      <c r="A26" s="38" t="s">
        <v>164</v>
      </c>
      <c r="B26" s="83">
        <v>6</v>
      </c>
      <c r="C26" s="83">
        <v>174</v>
      </c>
      <c r="D26" s="83">
        <v>79</v>
      </c>
      <c r="E26" s="83">
        <v>92.5</v>
      </c>
      <c r="F26" s="83">
        <v>-52.8</v>
      </c>
    </row>
    <row r="27" spans="1:6" x14ac:dyDescent="0.3">
      <c r="A27" s="38" t="s">
        <v>165</v>
      </c>
      <c r="B27" s="83">
        <v>-563</v>
      </c>
      <c r="C27" s="83">
        <v>-354</v>
      </c>
      <c r="D27" s="83">
        <v>-48</v>
      </c>
      <c r="E27" s="83">
        <v>-139.4</v>
      </c>
      <c r="F27" s="83">
        <v>-83.2</v>
      </c>
    </row>
    <row r="28" spans="1:6" x14ac:dyDescent="0.3">
      <c r="A28" s="42" t="s">
        <v>166</v>
      </c>
      <c r="B28" s="84">
        <v>1817</v>
      </c>
      <c r="C28" s="84">
        <v>1779</v>
      </c>
      <c r="D28" s="84">
        <v>1225</v>
      </c>
      <c r="E28" s="84">
        <v>873.1</v>
      </c>
      <c r="F28" s="84">
        <v>1368.9</v>
      </c>
    </row>
    <row r="29" spans="1:6" x14ac:dyDescent="0.3">
      <c r="A29" s="38" t="s">
        <v>167</v>
      </c>
      <c r="B29" s="83">
        <v>-334</v>
      </c>
      <c r="C29" s="83">
        <v>-173</v>
      </c>
      <c r="D29" s="83">
        <v>-313</v>
      </c>
      <c r="E29" s="83">
        <v>-296.5</v>
      </c>
      <c r="F29" s="83">
        <v>-457.6</v>
      </c>
    </row>
    <row r="30" spans="1:6" s="4" customFormat="1" x14ac:dyDescent="0.3">
      <c r="A30" s="85" t="s">
        <v>168</v>
      </c>
      <c r="B30" s="86">
        <f>B28+B29</f>
        <v>1483</v>
      </c>
      <c r="C30" s="86">
        <f>C28+C29</f>
        <v>1606</v>
      </c>
      <c r="D30" s="86">
        <f>D28+D29</f>
        <v>912</v>
      </c>
      <c r="E30" s="86">
        <f>E28+E29</f>
        <v>576.6</v>
      </c>
      <c r="F30" s="86">
        <f>F28+F29</f>
        <v>911.30000000000007</v>
      </c>
    </row>
    <row r="31" spans="1:6" x14ac:dyDescent="0.3">
      <c r="A31" s="10"/>
      <c r="B31" s="87"/>
      <c r="C31" s="87"/>
      <c r="D31" s="87"/>
      <c r="E31" s="87"/>
      <c r="F31" s="87"/>
    </row>
    <row r="32" spans="1:6" x14ac:dyDescent="0.3">
      <c r="A32" s="50" t="s">
        <v>169</v>
      </c>
      <c r="B32" s="88"/>
      <c r="C32" s="88"/>
      <c r="D32" s="88"/>
      <c r="E32" s="88"/>
      <c r="F32" s="89"/>
    </row>
    <row r="33" spans="1:6" x14ac:dyDescent="0.3">
      <c r="A33" s="38" t="s">
        <v>170</v>
      </c>
      <c r="B33" s="83">
        <v>-181</v>
      </c>
      <c r="C33" s="83">
        <v>-162</v>
      </c>
      <c r="D33" s="83">
        <v>-98</v>
      </c>
      <c r="E33" s="83">
        <v>-139.69999999999999</v>
      </c>
      <c r="F33" s="83">
        <v>-134.6</v>
      </c>
    </row>
    <row r="34" spans="1:6" x14ac:dyDescent="0.3">
      <c r="A34" s="38" t="s">
        <v>171</v>
      </c>
      <c r="B34" s="83">
        <v>253</v>
      </c>
      <c r="C34" s="83">
        <v>1</v>
      </c>
      <c r="D34" s="83">
        <v>20</v>
      </c>
      <c r="E34" s="83">
        <v>26.5</v>
      </c>
      <c r="F34" s="83">
        <v>38.299999999999997</v>
      </c>
    </row>
    <row r="35" spans="1:6" x14ac:dyDescent="0.3">
      <c r="A35" s="38" t="s">
        <v>172</v>
      </c>
      <c r="B35" s="83">
        <v>-1862</v>
      </c>
      <c r="C35" s="83">
        <v>-1246</v>
      </c>
      <c r="D35" s="83">
        <v>-760</v>
      </c>
      <c r="E35" s="83">
        <v>-8529.5</v>
      </c>
      <c r="F35" s="83">
        <v>-1435.6</v>
      </c>
    </row>
    <row r="36" spans="1:6" x14ac:dyDescent="0.3">
      <c r="A36" s="38" t="s">
        <v>173</v>
      </c>
      <c r="B36" s="83">
        <v>1688</v>
      </c>
      <c r="C36" s="83">
        <v>1011</v>
      </c>
      <c r="D36" s="83">
        <v>478</v>
      </c>
      <c r="E36" s="83">
        <v>8752.2999999999993</v>
      </c>
      <c r="F36" s="83">
        <v>1213.5</v>
      </c>
    </row>
    <row r="37" spans="1:6" x14ac:dyDescent="0.3">
      <c r="A37" s="38" t="s">
        <v>174</v>
      </c>
      <c r="B37" s="83">
        <v>-1113</v>
      </c>
      <c r="C37" s="83">
        <v>-1083</v>
      </c>
      <c r="D37" s="83">
        <v>-400</v>
      </c>
      <c r="E37" s="83">
        <v>-101.3</v>
      </c>
      <c r="F37" s="83">
        <v>0</v>
      </c>
    </row>
    <row r="38" spans="1:6" x14ac:dyDescent="0.3">
      <c r="A38" s="38" t="s">
        <v>175</v>
      </c>
      <c r="B38" s="83">
        <v>790</v>
      </c>
      <c r="C38" s="83">
        <v>395</v>
      </c>
      <c r="D38" s="83">
        <v>980</v>
      </c>
      <c r="E38" s="83">
        <v>25</v>
      </c>
      <c r="F38" s="83">
        <v>0</v>
      </c>
    </row>
    <row r="39" spans="1:6" x14ac:dyDescent="0.3">
      <c r="A39" s="38" t="s">
        <v>176</v>
      </c>
      <c r="B39" s="83">
        <v>-97</v>
      </c>
      <c r="C39" s="83">
        <v>-13</v>
      </c>
      <c r="D39" s="83">
        <v>-15</v>
      </c>
      <c r="E39" s="83">
        <v>-31.5</v>
      </c>
      <c r="F39" s="83">
        <v>0</v>
      </c>
    </row>
    <row r="40" spans="1:6" x14ac:dyDescent="0.3">
      <c r="A40" s="38" t="s">
        <v>177</v>
      </c>
      <c r="B40" s="83">
        <v>0</v>
      </c>
      <c r="C40" s="83">
        <v>-18</v>
      </c>
      <c r="D40" s="83">
        <v>-29</v>
      </c>
      <c r="E40" s="83">
        <v>-326.3</v>
      </c>
      <c r="F40" s="83">
        <v>-249.9</v>
      </c>
    </row>
    <row r="41" spans="1:6" x14ac:dyDescent="0.3">
      <c r="A41" s="38" t="s">
        <v>178</v>
      </c>
      <c r="B41" s="83">
        <v>18</v>
      </c>
      <c r="C41" s="83">
        <v>0</v>
      </c>
      <c r="D41" s="83">
        <v>121</v>
      </c>
      <c r="E41" s="83">
        <v>361.3</v>
      </c>
      <c r="F41" s="83">
        <v>321</v>
      </c>
    </row>
    <row r="42" spans="1:6" x14ac:dyDescent="0.3">
      <c r="A42" s="38" t="s">
        <v>179</v>
      </c>
      <c r="B42" s="83">
        <v>3</v>
      </c>
      <c r="C42" s="83">
        <v>7</v>
      </c>
      <c r="D42" s="83">
        <v>6</v>
      </c>
      <c r="E42" s="83">
        <v>3.2</v>
      </c>
      <c r="F42" s="83">
        <v>0</v>
      </c>
    </row>
    <row r="43" spans="1:6" x14ac:dyDescent="0.3">
      <c r="A43" s="38" t="s">
        <v>180</v>
      </c>
      <c r="B43" s="83">
        <v>0</v>
      </c>
      <c r="C43" s="83">
        <v>0</v>
      </c>
      <c r="D43" s="83">
        <v>0</v>
      </c>
      <c r="E43" s="83">
        <v>-8</v>
      </c>
      <c r="F43" s="83">
        <v>-10</v>
      </c>
    </row>
    <row r="44" spans="1:6" x14ac:dyDescent="0.3">
      <c r="A44" s="38" t="s">
        <v>181</v>
      </c>
      <c r="B44" s="83">
        <v>65</v>
      </c>
      <c r="C44" s="83">
        <v>38</v>
      </c>
      <c r="D44" s="83">
        <v>39</v>
      </c>
      <c r="E44" s="83">
        <v>20.399999999999999</v>
      </c>
      <c r="F44" s="83">
        <v>17</v>
      </c>
    </row>
    <row r="45" spans="1:6" x14ac:dyDescent="0.3">
      <c r="A45" s="38" t="s">
        <v>182</v>
      </c>
      <c r="B45" s="83">
        <v>101</v>
      </c>
      <c r="C45" s="83">
        <v>120</v>
      </c>
      <c r="D45" s="83">
        <v>125</v>
      </c>
      <c r="E45" s="83">
        <v>0</v>
      </c>
      <c r="F45" s="83">
        <v>0</v>
      </c>
    </row>
    <row r="46" spans="1:6" x14ac:dyDescent="0.3">
      <c r="A46" s="38" t="s">
        <v>183</v>
      </c>
      <c r="B46" s="83">
        <v>0</v>
      </c>
      <c r="C46" s="83">
        <v>0</v>
      </c>
      <c r="D46" s="83">
        <v>0</v>
      </c>
      <c r="E46" s="83">
        <v>818</v>
      </c>
      <c r="F46" s="83">
        <v>0</v>
      </c>
    </row>
    <row r="47" spans="1:6" x14ac:dyDescent="0.3">
      <c r="A47" s="38" t="s">
        <v>184</v>
      </c>
      <c r="B47" s="83">
        <v>0</v>
      </c>
      <c r="C47" s="83">
        <v>0</v>
      </c>
      <c r="D47" s="83">
        <v>0</v>
      </c>
      <c r="E47" s="83">
        <v>32</v>
      </c>
      <c r="F47" s="83">
        <v>0</v>
      </c>
    </row>
    <row r="48" spans="1:6" x14ac:dyDescent="0.3">
      <c r="A48" s="38" t="s">
        <v>185</v>
      </c>
      <c r="B48" s="83">
        <v>0</v>
      </c>
      <c r="C48" s="83">
        <v>0</v>
      </c>
      <c r="D48" s="83">
        <v>0</v>
      </c>
      <c r="E48" s="83">
        <v>0</v>
      </c>
      <c r="F48" s="83">
        <v>8.9</v>
      </c>
    </row>
    <row r="49" spans="1:6" s="4" customFormat="1" x14ac:dyDescent="0.3">
      <c r="A49" s="38" t="s">
        <v>186</v>
      </c>
      <c r="B49" s="83">
        <v>0</v>
      </c>
      <c r="C49" s="83">
        <v>0</v>
      </c>
      <c r="D49" s="83">
        <v>0</v>
      </c>
      <c r="E49" s="83">
        <v>0</v>
      </c>
      <c r="F49" s="83">
        <v>0.5</v>
      </c>
    </row>
    <row r="50" spans="1:6" s="4" customFormat="1" x14ac:dyDescent="0.3">
      <c r="A50" s="85" t="s">
        <v>168</v>
      </c>
      <c r="B50" s="83">
        <f>SUM(B33:B49)</f>
        <v>-335</v>
      </c>
      <c r="C50" s="83">
        <f>SUM(C33:C49)</f>
        <v>-950</v>
      </c>
      <c r="D50" s="83">
        <f>SUM(D33:D49)</f>
        <v>467</v>
      </c>
      <c r="E50" s="83">
        <f>SUM(E33:E49)</f>
        <v>902.3999999999985</v>
      </c>
      <c r="F50" s="83">
        <f>SUM(F33:F49)</f>
        <v>-230.89999999999984</v>
      </c>
    </row>
    <row r="51" spans="1:6" s="4" customFormat="1" x14ac:dyDescent="0.3">
      <c r="A51" s="38"/>
      <c r="B51" s="83"/>
      <c r="C51" s="83"/>
      <c r="D51" s="83"/>
      <c r="E51" s="83"/>
      <c r="F51" s="83"/>
    </row>
    <row r="52" spans="1:6" s="4" customFormat="1" x14ac:dyDescent="0.3">
      <c r="A52" s="38"/>
      <c r="B52" s="83"/>
      <c r="C52" s="83"/>
      <c r="D52" s="83"/>
      <c r="E52" s="83"/>
      <c r="F52" s="83"/>
    </row>
    <row r="53" spans="1:6" s="4" customFormat="1" x14ac:dyDescent="0.3">
      <c r="A53" s="38"/>
      <c r="B53" s="83"/>
      <c r="C53" s="83"/>
      <c r="D53" s="83"/>
      <c r="E53" s="83"/>
      <c r="F53" s="83"/>
    </row>
    <row r="54" spans="1:6" s="4" customFormat="1" x14ac:dyDescent="0.3">
      <c r="A54" s="17"/>
      <c r="B54" s="86"/>
      <c r="C54" s="86"/>
      <c r="D54" s="86"/>
      <c r="E54" s="86"/>
      <c r="F54" s="86"/>
    </row>
    <row r="55" spans="1:6" x14ac:dyDescent="0.3">
      <c r="A55" s="50" t="s">
        <v>187</v>
      </c>
      <c r="B55" s="89"/>
      <c r="C55" s="89"/>
      <c r="D55" s="89"/>
      <c r="E55" s="89"/>
      <c r="F55" s="89"/>
    </row>
    <row r="56" spans="1:6" x14ac:dyDescent="0.3">
      <c r="A56" s="38" t="s">
        <v>188</v>
      </c>
      <c r="B56" s="83">
        <v>0</v>
      </c>
      <c r="C56" s="83">
        <v>0</v>
      </c>
      <c r="D56" s="83">
        <v>0</v>
      </c>
      <c r="E56" s="83">
        <v>-339.2</v>
      </c>
      <c r="F56" s="83">
        <v>-535.70000000000005</v>
      </c>
    </row>
    <row r="57" spans="1:6" x14ac:dyDescent="0.3">
      <c r="A57" s="38" t="s">
        <v>189</v>
      </c>
      <c r="B57" s="83">
        <v>0</v>
      </c>
      <c r="C57" s="83">
        <v>-1</v>
      </c>
      <c r="D57" s="83">
        <v>-1</v>
      </c>
      <c r="E57" s="83">
        <v>-1.4</v>
      </c>
      <c r="F57" s="83">
        <v>-2</v>
      </c>
    </row>
    <row r="58" spans="1:6" x14ac:dyDescent="0.3">
      <c r="A58" s="38" t="s">
        <v>190</v>
      </c>
      <c r="B58" s="83">
        <v>0</v>
      </c>
      <c r="C58" s="83">
        <v>0</v>
      </c>
      <c r="D58" s="83">
        <v>0</v>
      </c>
      <c r="E58" s="83">
        <v>-20.3</v>
      </c>
      <c r="F58" s="83">
        <v>-38</v>
      </c>
    </row>
    <row r="59" spans="1:6" x14ac:dyDescent="0.3">
      <c r="A59" s="38" t="s">
        <v>191</v>
      </c>
      <c r="B59" s="83">
        <v>-1263</v>
      </c>
      <c r="C59" s="83">
        <v>-350</v>
      </c>
      <c r="D59" s="83">
        <v>-291</v>
      </c>
      <c r="E59" s="83">
        <v>0</v>
      </c>
      <c r="F59" s="83">
        <v>0</v>
      </c>
    </row>
    <row r="60" spans="1:6" x14ac:dyDescent="0.3">
      <c r="A60" s="38" t="s">
        <v>192</v>
      </c>
      <c r="B60" s="83">
        <v>-143</v>
      </c>
      <c r="C60" s="83">
        <v>-137</v>
      </c>
      <c r="D60" s="83">
        <v>-126</v>
      </c>
      <c r="E60" s="83">
        <v>-124</v>
      </c>
      <c r="F60" s="83">
        <v>-100.2</v>
      </c>
    </row>
    <row r="61" spans="1:6" x14ac:dyDescent="0.3">
      <c r="A61" s="38" t="s">
        <v>193</v>
      </c>
      <c r="B61" s="83">
        <v>-37</v>
      </c>
      <c r="C61" s="83">
        <v>-40</v>
      </c>
      <c r="D61" s="83">
        <v>-21</v>
      </c>
      <c r="E61" s="83">
        <v>-16</v>
      </c>
      <c r="F61" s="83">
        <v>-11.9</v>
      </c>
    </row>
    <row r="62" spans="1:6" s="4" customFormat="1" x14ac:dyDescent="0.3">
      <c r="A62" s="85" t="s">
        <v>194</v>
      </c>
      <c r="B62" s="86">
        <f>SUM(B56:B61)</f>
        <v>-1443</v>
      </c>
      <c r="C62" s="86">
        <f>SUM(C56:C61)</f>
        <v>-528</v>
      </c>
      <c r="D62" s="86">
        <f>SUM(D56:D61)</f>
        <v>-439</v>
      </c>
      <c r="E62" s="86">
        <f>SUM(E56:E61)</f>
        <v>-500.9</v>
      </c>
      <c r="F62" s="86">
        <f>SUM(F56:F61)</f>
        <v>-687.80000000000007</v>
      </c>
    </row>
    <row r="63" spans="1:6" s="4" customFormat="1" x14ac:dyDescent="0.3">
      <c r="A63" s="90"/>
      <c r="B63" s="86"/>
      <c r="C63" s="86"/>
      <c r="D63" s="86"/>
      <c r="E63" s="86"/>
      <c r="F63" s="86"/>
    </row>
    <row r="64" spans="1:6" x14ac:dyDescent="0.3">
      <c r="A64" s="38" t="s">
        <v>195</v>
      </c>
      <c r="B64" s="83">
        <v>-295</v>
      </c>
      <c r="C64" s="83">
        <v>129</v>
      </c>
      <c r="D64" s="83">
        <v>940</v>
      </c>
      <c r="E64" s="83">
        <v>54.4</v>
      </c>
      <c r="F64" s="83">
        <v>-22.2</v>
      </c>
    </row>
    <row r="65" spans="1:6" x14ac:dyDescent="0.3">
      <c r="A65" s="38" t="s">
        <v>196</v>
      </c>
      <c r="B65" s="83">
        <v>1150</v>
      </c>
      <c r="C65" s="83">
        <v>1021</v>
      </c>
      <c r="D65" s="83">
        <v>81</v>
      </c>
      <c r="E65" s="83">
        <v>27</v>
      </c>
      <c r="F65" s="83">
        <v>49.2</v>
      </c>
    </row>
    <row r="66" spans="1:6" x14ac:dyDescent="0.3">
      <c r="A66" s="38" t="s">
        <v>197</v>
      </c>
      <c r="B66" s="83">
        <v>0</v>
      </c>
      <c r="C66" s="83">
        <v>0</v>
      </c>
      <c r="D66" s="83">
        <v>0</v>
      </c>
      <c r="E66" s="83">
        <v>0</v>
      </c>
      <c r="F66" s="83">
        <v>0</v>
      </c>
    </row>
    <row r="67" spans="1:6" x14ac:dyDescent="0.3">
      <c r="A67" s="38" t="s">
        <v>198</v>
      </c>
      <c r="B67" s="83">
        <v>0</v>
      </c>
      <c r="C67" s="83">
        <v>0</v>
      </c>
      <c r="D67" s="83">
        <v>0</v>
      </c>
      <c r="E67" s="83">
        <v>0</v>
      </c>
      <c r="F67" s="83">
        <v>0</v>
      </c>
    </row>
    <row r="68" spans="1:6" x14ac:dyDescent="0.3">
      <c r="A68" s="38" t="s">
        <v>199</v>
      </c>
      <c r="B68" s="83">
        <v>-295</v>
      </c>
      <c r="C68" s="83">
        <v>129</v>
      </c>
      <c r="D68" s="83">
        <v>940</v>
      </c>
      <c r="E68" s="83">
        <v>54.4</v>
      </c>
      <c r="F68" s="83">
        <v>-22.2</v>
      </c>
    </row>
    <row r="69" spans="1:6" x14ac:dyDescent="0.3">
      <c r="A69" s="42" t="s">
        <v>200</v>
      </c>
      <c r="B69" s="84">
        <v>855</v>
      </c>
      <c r="C69" s="84">
        <v>1150</v>
      </c>
      <c r="D69" s="84">
        <v>1021</v>
      </c>
      <c r="E69" s="84">
        <v>81.400000000000006</v>
      </c>
      <c r="F69" s="84">
        <v>27</v>
      </c>
    </row>
    <row r="70" spans="1:6" x14ac:dyDescent="0.3">
      <c r="A70" s="42" t="s">
        <v>201</v>
      </c>
      <c r="B70" s="91"/>
      <c r="C70" s="91"/>
      <c r="D70" s="91"/>
      <c r="E70" s="91"/>
      <c r="F70" s="91"/>
    </row>
    <row r="71" spans="1:6" x14ac:dyDescent="0.3">
      <c r="A71" s="38" t="s">
        <v>202</v>
      </c>
      <c r="B71" s="83">
        <v>71</v>
      </c>
      <c r="C71" s="83">
        <v>394</v>
      </c>
      <c r="D71" s="83">
        <v>184</v>
      </c>
      <c r="E71" s="83">
        <v>86</v>
      </c>
      <c r="F71" s="83">
        <v>229.2</v>
      </c>
    </row>
    <row r="72" spans="1:6" x14ac:dyDescent="0.3">
      <c r="A72" s="10"/>
      <c r="B72" s="87"/>
      <c r="C72" s="87"/>
      <c r="D72" s="87"/>
      <c r="E72" s="87"/>
      <c r="F72" s="87"/>
    </row>
    <row r="73" spans="1:6" x14ac:dyDescent="0.3">
      <c r="A73" s="38"/>
      <c r="B73" s="83"/>
      <c r="C73" s="83"/>
      <c r="D73" s="83"/>
      <c r="E73" s="83"/>
      <c r="F73" s="83"/>
    </row>
    <row r="74" spans="1:6" x14ac:dyDescent="0.3">
      <c r="A74" s="10"/>
      <c r="B74" s="87"/>
      <c r="C74" s="87"/>
      <c r="D74" s="87"/>
      <c r="E74" s="87"/>
      <c r="F74" s="87"/>
    </row>
    <row r="75" spans="1:6" x14ac:dyDescent="0.3">
      <c r="A75" s="10"/>
      <c r="B75" s="87"/>
      <c r="C75" s="87"/>
      <c r="D75" s="87"/>
      <c r="E75" s="87"/>
      <c r="F75" s="87"/>
    </row>
    <row r="76" spans="1:6" s="4" customFormat="1" x14ac:dyDescent="0.3">
      <c r="A76" s="17"/>
      <c r="B76" s="92"/>
      <c r="C76" s="92"/>
      <c r="D76" s="92"/>
      <c r="E76" s="92"/>
      <c r="F76" s="92"/>
    </row>
    <row r="77" spans="1:6" x14ac:dyDescent="0.3">
      <c r="A77" s="10"/>
      <c r="B77" s="87"/>
      <c r="C77" s="87"/>
      <c r="D77" s="87"/>
      <c r="E77" s="87"/>
      <c r="F77" s="87"/>
    </row>
    <row r="78" spans="1:6" s="4" customFormat="1" x14ac:dyDescent="0.3">
      <c r="A78" s="17"/>
      <c r="B78" s="86"/>
      <c r="C78" s="86"/>
      <c r="D78" s="86"/>
      <c r="E78" s="86"/>
      <c r="F78" s="86"/>
    </row>
    <row r="79" spans="1:6" x14ac:dyDescent="0.3">
      <c r="B79" s="93"/>
      <c r="C79" s="93"/>
      <c r="D79" s="93"/>
      <c r="E79" s="93"/>
      <c r="F79" s="93"/>
    </row>
    <row r="80" spans="1:6" x14ac:dyDescent="0.3">
      <c r="B80" s="93"/>
      <c r="C80" s="93"/>
      <c r="D80" s="94"/>
      <c r="E80" s="94"/>
      <c r="F80" s="93"/>
    </row>
    <row r="81" spans="2:6" x14ac:dyDescent="0.3">
      <c r="B81" s="93"/>
      <c r="C81" s="93"/>
      <c r="D81" s="93"/>
      <c r="E81" s="93"/>
      <c r="F81" s="94"/>
    </row>
    <row r="82" spans="2:6" x14ac:dyDescent="0.3">
      <c r="B82" s="93"/>
      <c r="C82" s="93"/>
      <c r="D82" s="93"/>
      <c r="E82" s="93"/>
      <c r="F82" s="93"/>
    </row>
    <row r="83" spans="2:6" x14ac:dyDescent="0.3">
      <c r="B83" s="93"/>
      <c r="C83" s="93"/>
      <c r="D83" s="93"/>
      <c r="E83" s="93"/>
      <c r="F83" s="93"/>
    </row>
    <row r="84" spans="2:6" x14ac:dyDescent="0.3">
      <c r="B84" s="93"/>
      <c r="C84" s="93"/>
      <c r="D84" s="93"/>
      <c r="E84" s="93"/>
      <c r="F84" s="93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zoomScaleNormal="100" workbookViewId="0">
      <selection activeCell="R3" sqref="R3"/>
    </sheetView>
  </sheetViews>
  <sheetFormatPr defaultColWidth="8.6640625" defaultRowHeight="14.4" x14ac:dyDescent="0.3"/>
  <cols>
    <col min="1" max="1" width="27.77734375" customWidth="1"/>
    <col min="2" max="2" width="21.5546875" customWidth="1"/>
  </cols>
  <sheetData>
    <row r="1" spans="1:2" ht="15" customHeight="1" x14ac:dyDescent="0.3"/>
    <row r="2" spans="1:2" ht="21" customHeight="1" x14ac:dyDescent="0.3">
      <c r="A2" s="95" t="s">
        <v>203</v>
      </c>
      <c r="B2" s="96">
        <v>0.34599999999999997</v>
      </c>
    </row>
    <row r="3" spans="1:2" ht="41.25" customHeight="1" x14ac:dyDescent="0.3">
      <c r="A3" s="95" t="s">
        <v>204</v>
      </c>
      <c r="B3" s="96">
        <v>0.34300000000000003</v>
      </c>
    </row>
    <row r="4" spans="1:2" ht="41.25" customHeight="1" x14ac:dyDescent="0.3">
      <c r="A4" s="95" t="s">
        <v>205</v>
      </c>
      <c r="B4" s="96">
        <v>4.0000000000000001E-3</v>
      </c>
    </row>
    <row r="5" spans="1:2" ht="21" customHeight="1" x14ac:dyDescent="0.3">
      <c r="A5" s="95" t="s">
        <v>206</v>
      </c>
      <c r="B5" s="96">
        <v>8.3000000000000004E-2</v>
      </c>
    </row>
    <row r="6" spans="1:2" ht="21" customHeight="1" x14ac:dyDescent="0.3">
      <c r="A6" s="95" t="s">
        <v>207</v>
      </c>
      <c r="B6" s="96">
        <v>8.3000000000000004E-2</v>
      </c>
    </row>
    <row r="7" spans="1:2" ht="21" customHeight="1" x14ac:dyDescent="0.3">
      <c r="A7" s="95" t="s">
        <v>208</v>
      </c>
      <c r="B7" s="96">
        <v>8.2000000000000003E-2</v>
      </c>
    </row>
    <row r="8" spans="1:2" ht="21" customHeight="1" x14ac:dyDescent="0.3">
      <c r="A8" s="95" t="s">
        <v>209</v>
      </c>
      <c r="B8" s="96">
        <v>1.4E-2</v>
      </c>
    </row>
    <row r="9" spans="1:2" ht="30.75" customHeight="1" x14ac:dyDescent="0.3">
      <c r="A9" s="95" t="s">
        <v>210</v>
      </c>
      <c r="B9" s="96">
        <v>0.02</v>
      </c>
    </row>
    <row r="10" spans="1:2" ht="15" customHeight="1" x14ac:dyDescent="0.3">
      <c r="A10" s="95" t="s">
        <v>211</v>
      </c>
      <c r="B10" s="96">
        <v>2.5000000000000001E-2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3"/>
  <sheetViews>
    <sheetView topLeftCell="A53" zoomScaleNormal="100" workbookViewId="0">
      <selection sqref="A1:B1"/>
    </sheetView>
  </sheetViews>
  <sheetFormatPr defaultColWidth="8.6640625" defaultRowHeight="14.4" x14ac:dyDescent="0.3"/>
  <cols>
    <col min="1" max="1" width="45" customWidth="1"/>
    <col min="2" max="2" width="90" customWidth="1"/>
  </cols>
  <sheetData>
    <row r="1" spans="1:2" ht="16.8" x14ac:dyDescent="0.3">
      <c r="A1" s="116" t="s">
        <v>212</v>
      </c>
      <c r="B1" s="116"/>
    </row>
    <row r="3" spans="1:2" x14ac:dyDescent="0.3">
      <c r="A3" s="117" t="s">
        <v>213</v>
      </c>
      <c r="B3" s="117"/>
    </row>
    <row r="4" spans="1:2" ht="39.6" x14ac:dyDescent="0.3">
      <c r="A4" s="97" t="s">
        <v>5</v>
      </c>
      <c r="B4" s="98" t="s">
        <v>214</v>
      </c>
    </row>
    <row r="5" spans="1:2" ht="26.4" x14ac:dyDescent="0.3">
      <c r="A5" s="97" t="s">
        <v>6</v>
      </c>
      <c r="B5" s="98" t="s">
        <v>215</v>
      </c>
    </row>
    <row r="6" spans="1:2" ht="26.4" x14ac:dyDescent="0.3">
      <c r="A6" s="97" t="s">
        <v>7</v>
      </c>
      <c r="B6" s="98" t="s">
        <v>216</v>
      </c>
    </row>
    <row r="8" spans="1:2" x14ac:dyDescent="0.3">
      <c r="A8" s="117" t="s">
        <v>8</v>
      </c>
      <c r="B8" s="117"/>
    </row>
    <row r="9" spans="1:2" ht="26.4" x14ac:dyDescent="0.3">
      <c r="A9" s="97" t="s">
        <v>217</v>
      </c>
      <c r="B9" s="98" t="s">
        <v>218</v>
      </c>
    </row>
    <row r="10" spans="1:2" ht="26.4" x14ac:dyDescent="0.3">
      <c r="A10" s="97" t="s">
        <v>219</v>
      </c>
      <c r="B10" s="98" t="s">
        <v>220</v>
      </c>
    </row>
    <row r="11" spans="1:2" ht="26.4" x14ac:dyDescent="0.3">
      <c r="A11" s="97" t="s">
        <v>221</v>
      </c>
      <c r="B11" s="98" t="s">
        <v>222</v>
      </c>
    </row>
    <row r="12" spans="1:2" ht="26.4" x14ac:dyDescent="0.3">
      <c r="A12" s="97" t="s">
        <v>12</v>
      </c>
      <c r="B12" s="98" t="s">
        <v>223</v>
      </c>
    </row>
    <row r="13" spans="1:2" ht="26.4" x14ac:dyDescent="0.3">
      <c r="A13" s="97" t="s">
        <v>224</v>
      </c>
      <c r="B13" s="98" t="s">
        <v>225</v>
      </c>
    </row>
    <row r="14" spans="1:2" ht="26.4" x14ac:dyDescent="0.3">
      <c r="A14" s="97" t="s">
        <v>226</v>
      </c>
      <c r="B14" s="98" t="s">
        <v>227</v>
      </c>
    </row>
    <row r="15" spans="1:2" ht="26.4" x14ac:dyDescent="0.3">
      <c r="A15" s="97" t="s">
        <v>16</v>
      </c>
      <c r="B15" s="98" t="s">
        <v>228</v>
      </c>
    </row>
    <row r="16" spans="1:2" ht="26.4" x14ac:dyDescent="0.3">
      <c r="A16" s="97" t="s">
        <v>18</v>
      </c>
      <c r="B16" s="98" t="s">
        <v>229</v>
      </c>
    </row>
    <row r="18" spans="1:2" x14ac:dyDescent="0.3">
      <c r="A18" s="117" t="s">
        <v>230</v>
      </c>
      <c r="B18" s="117"/>
    </row>
    <row r="19" spans="1:2" ht="26.4" x14ac:dyDescent="0.3">
      <c r="A19" s="97" t="s">
        <v>231</v>
      </c>
      <c r="B19" s="98" t="s">
        <v>232</v>
      </c>
    </row>
    <row r="20" spans="1:2" ht="26.4" x14ac:dyDescent="0.3">
      <c r="A20" s="97" t="s">
        <v>233</v>
      </c>
      <c r="B20" s="98" t="s">
        <v>234</v>
      </c>
    </row>
    <row r="21" spans="1:2" ht="26.4" x14ac:dyDescent="0.3">
      <c r="A21" s="97" t="s">
        <v>235</v>
      </c>
      <c r="B21" s="98" t="s">
        <v>236</v>
      </c>
    </row>
    <row r="22" spans="1:2" ht="26.4" x14ac:dyDescent="0.3">
      <c r="A22" s="97" t="s">
        <v>237</v>
      </c>
      <c r="B22" s="98" t="s">
        <v>238</v>
      </c>
    </row>
    <row r="23" spans="1:2" ht="26.4" x14ac:dyDescent="0.3">
      <c r="A23" s="97" t="s">
        <v>239</v>
      </c>
      <c r="B23" s="98" t="s">
        <v>240</v>
      </c>
    </row>
    <row r="24" spans="1:2" ht="26.4" x14ac:dyDescent="0.3">
      <c r="A24" s="97" t="s">
        <v>29</v>
      </c>
      <c r="B24" s="98" t="s">
        <v>241</v>
      </c>
    </row>
    <row r="25" spans="1:2" ht="26.4" x14ac:dyDescent="0.3">
      <c r="A25" s="97" t="s">
        <v>30</v>
      </c>
      <c r="B25" s="98" t="s">
        <v>242</v>
      </c>
    </row>
    <row r="26" spans="1:2" ht="39.6" x14ac:dyDescent="0.3">
      <c r="A26" s="97" t="s">
        <v>31</v>
      </c>
      <c r="B26" s="98" t="s">
        <v>243</v>
      </c>
    </row>
    <row r="27" spans="1:2" ht="26.4" x14ac:dyDescent="0.3">
      <c r="A27" s="97" t="s">
        <v>244</v>
      </c>
      <c r="B27" s="98" t="s">
        <v>245</v>
      </c>
    </row>
    <row r="28" spans="1:2" ht="26.4" x14ac:dyDescent="0.3">
      <c r="A28" s="97" t="s">
        <v>33</v>
      </c>
      <c r="B28" s="98" t="s">
        <v>246</v>
      </c>
    </row>
    <row r="29" spans="1:2" ht="26.4" x14ac:dyDescent="0.3">
      <c r="A29" s="97" t="s">
        <v>247</v>
      </c>
      <c r="B29" s="98" t="s">
        <v>248</v>
      </c>
    </row>
    <row r="30" spans="1:2" ht="26.4" x14ac:dyDescent="0.3">
      <c r="A30" s="97" t="s">
        <v>35</v>
      </c>
      <c r="B30" s="98" t="s">
        <v>249</v>
      </c>
    </row>
    <row r="31" spans="1:2" ht="26.4" x14ac:dyDescent="0.3">
      <c r="A31" s="97" t="s">
        <v>36</v>
      </c>
      <c r="B31" s="98" t="s">
        <v>250</v>
      </c>
    </row>
    <row r="32" spans="1:2" ht="26.4" x14ac:dyDescent="0.3">
      <c r="A32" s="97" t="s">
        <v>37</v>
      </c>
      <c r="B32" s="98" t="s">
        <v>251</v>
      </c>
    </row>
    <row r="33" spans="1:2" ht="26.4" x14ac:dyDescent="0.3">
      <c r="A33" s="97" t="s">
        <v>38</v>
      </c>
      <c r="B33" s="98" t="s">
        <v>252</v>
      </c>
    </row>
    <row r="36" spans="1:2" ht="16.8" x14ac:dyDescent="0.3">
      <c r="A36" s="116" t="s">
        <v>253</v>
      </c>
      <c r="B36" s="116"/>
    </row>
    <row r="38" spans="1:2" x14ac:dyDescent="0.3">
      <c r="A38" s="117" t="s">
        <v>40</v>
      </c>
      <c r="B38" s="117"/>
    </row>
    <row r="39" spans="1:2" ht="26.4" x14ac:dyDescent="0.3">
      <c r="A39" s="97" t="s">
        <v>254</v>
      </c>
      <c r="B39" s="98" t="s">
        <v>255</v>
      </c>
    </row>
    <row r="40" spans="1:2" ht="26.4" x14ac:dyDescent="0.3">
      <c r="A40" s="97" t="s">
        <v>256</v>
      </c>
      <c r="B40" s="98" t="s">
        <v>257</v>
      </c>
    </row>
    <row r="41" spans="1:2" ht="26.4" x14ac:dyDescent="0.3">
      <c r="A41" s="97" t="s">
        <v>258</v>
      </c>
      <c r="B41" s="98" t="s">
        <v>259</v>
      </c>
    </row>
    <row r="42" spans="1:2" ht="26.4" x14ac:dyDescent="0.3">
      <c r="A42" s="97" t="s">
        <v>45</v>
      </c>
      <c r="B42" s="98" t="s">
        <v>260</v>
      </c>
    </row>
    <row r="44" spans="1:2" x14ac:dyDescent="0.3">
      <c r="A44" s="117" t="s">
        <v>261</v>
      </c>
      <c r="B44" s="117"/>
    </row>
    <row r="45" spans="1:2" ht="26.4" x14ac:dyDescent="0.3">
      <c r="A45" s="97" t="s">
        <v>262</v>
      </c>
      <c r="B45" s="98" t="s">
        <v>263</v>
      </c>
    </row>
    <row r="46" spans="1:2" ht="26.4" x14ac:dyDescent="0.3">
      <c r="A46" s="97" t="s">
        <v>264</v>
      </c>
      <c r="B46" s="98" t="s">
        <v>265</v>
      </c>
    </row>
    <row r="47" spans="1:2" ht="26.4" x14ac:dyDescent="0.3">
      <c r="A47" s="97" t="s">
        <v>266</v>
      </c>
      <c r="B47" s="98" t="s">
        <v>267</v>
      </c>
    </row>
    <row r="48" spans="1:2" ht="26.4" x14ac:dyDescent="0.3">
      <c r="A48" s="97" t="s">
        <v>50</v>
      </c>
      <c r="B48" s="98" t="s">
        <v>268</v>
      </c>
    </row>
    <row r="50" spans="1:2" x14ac:dyDescent="0.3">
      <c r="A50" s="117" t="s">
        <v>269</v>
      </c>
      <c r="B50" s="117"/>
    </row>
    <row r="51" spans="1:2" ht="26.4" x14ac:dyDescent="0.3">
      <c r="A51" s="97" t="s">
        <v>270</v>
      </c>
      <c r="B51" s="98" t="s">
        <v>271</v>
      </c>
    </row>
    <row r="52" spans="1:2" ht="26.4" x14ac:dyDescent="0.3">
      <c r="A52" s="97" t="s">
        <v>272</v>
      </c>
      <c r="B52" s="98" t="s">
        <v>273</v>
      </c>
    </row>
    <row r="53" spans="1:2" ht="26.4" x14ac:dyDescent="0.3">
      <c r="A53" s="97" t="s">
        <v>274</v>
      </c>
      <c r="B53" s="98" t="s">
        <v>275</v>
      </c>
    </row>
    <row r="54" spans="1:2" ht="26.4" x14ac:dyDescent="0.3">
      <c r="A54" s="97" t="s">
        <v>276</v>
      </c>
      <c r="B54" s="98" t="s">
        <v>277</v>
      </c>
    </row>
    <row r="55" spans="1:2" ht="26.4" x14ac:dyDescent="0.3">
      <c r="A55" s="97" t="s">
        <v>129</v>
      </c>
      <c r="B55" s="98" t="s">
        <v>278</v>
      </c>
    </row>
    <row r="56" spans="1:2" ht="26.4" x14ac:dyDescent="0.3">
      <c r="A56" s="97" t="s">
        <v>279</v>
      </c>
      <c r="B56" s="98" t="s">
        <v>280</v>
      </c>
    </row>
    <row r="57" spans="1:2" ht="26.4" x14ac:dyDescent="0.3">
      <c r="A57" s="97" t="s">
        <v>281</v>
      </c>
      <c r="B57" s="98" t="s">
        <v>282</v>
      </c>
    </row>
    <row r="58" spans="1:2" ht="26.4" x14ac:dyDescent="0.3">
      <c r="A58" s="97" t="s">
        <v>130</v>
      </c>
      <c r="B58" s="98" t="s">
        <v>283</v>
      </c>
    </row>
    <row r="59" spans="1:2" ht="26.4" x14ac:dyDescent="0.3">
      <c r="A59" s="97" t="s">
        <v>57</v>
      </c>
      <c r="B59" s="98" t="s">
        <v>284</v>
      </c>
    </row>
    <row r="60" spans="1:2" ht="26.4" x14ac:dyDescent="0.3">
      <c r="A60" s="97" t="s">
        <v>58</v>
      </c>
      <c r="B60" s="98" t="s">
        <v>285</v>
      </c>
    </row>
    <row r="62" spans="1:2" x14ac:dyDescent="0.3">
      <c r="A62" s="117" t="s">
        <v>286</v>
      </c>
      <c r="B62" s="117"/>
    </row>
    <row r="63" spans="1:2" ht="26.4" x14ac:dyDescent="0.3">
      <c r="A63" s="97" t="s">
        <v>287</v>
      </c>
      <c r="B63" s="98" t="s">
        <v>288</v>
      </c>
    </row>
    <row r="64" spans="1:2" ht="26.4" x14ac:dyDescent="0.3">
      <c r="A64" s="97" t="s">
        <v>289</v>
      </c>
      <c r="B64" s="98" t="s">
        <v>290</v>
      </c>
    </row>
    <row r="65" spans="1:2" ht="26.4" x14ac:dyDescent="0.3">
      <c r="A65" s="97" t="s">
        <v>291</v>
      </c>
      <c r="B65" s="98" t="s">
        <v>292</v>
      </c>
    </row>
    <row r="66" spans="1:2" ht="26.4" x14ac:dyDescent="0.3">
      <c r="A66" s="97" t="s">
        <v>69</v>
      </c>
      <c r="B66" s="98" t="s">
        <v>293</v>
      </c>
    </row>
    <row r="67" spans="1:2" ht="26.4" x14ac:dyDescent="0.3">
      <c r="A67" s="97" t="s">
        <v>294</v>
      </c>
      <c r="B67" s="98" t="s">
        <v>295</v>
      </c>
    </row>
    <row r="68" spans="1:2" ht="26.4" x14ac:dyDescent="0.3">
      <c r="A68" s="97" t="s">
        <v>296</v>
      </c>
      <c r="B68" s="98" t="s">
        <v>297</v>
      </c>
    </row>
    <row r="69" spans="1:2" ht="26.4" x14ac:dyDescent="0.3">
      <c r="A69" s="97" t="s">
        <v>298</v>
      </c>
      <c r="B69" s="98" t="s">
        <v>299</v>
      </c>
    </row>
    <row r="70" spans="1:2" ht="26.4" x14ac:dyDescent="0.3">
      <c r="A70" s="97" t="s">
        <v>300</v>
      </c>
      <c r="B70" s="98" t="s">
        <v>301</v>
      </c>
    </row>
    <row r="71" spans="1:2" ht="26.4" x14ac:dyDescent="0.3">
      <c r="A71" s="97" t="s">
        <v>302</v>
      </c>
      <c r="B71" s="98" t="s">
        <v>303</v>
      </c>
    </row>
    <row r="72" spans="1:2" ht="26.4" x14ac:dyDescent="0.3">
      <c r="A72" s="97" t="s">
        <v>304</v>
      </c>
      <c r="B72" s="98" t="s">
        <v>305</v>
      </c>
    </row>
    <row r="73" spans="1:2" ht="26.4" x14ac:dyDescent="0.3">
      <c r="A73" s="97" t="s">
        <v>306</v>
      </c>
      <c r="B73" s="98" t="s">
        <v>307</v>
      </c>
    </row>
    <row r="74" spans="1:2" ht="26.4" x14ac:dyDescent="0.3">
      <c r="A74" s="97" t="s">
        <v>308</v>
      </c>
      <c r="B74" s="98" t="s">
        <v>309</v>
      </c>
    </row>
    <row r="75" spans="1:2" ht="26.4" x14ac:dyDescent="0.3">
      <c r="A75" s="97" t="s">
        <v>131</v>
      </c>
      <c r="B75" s="98" t="s">
        <v>310</v>
      </c>
    </row>
    <row r="76" spans="1:2" ht="26.4" x14ac:dyDescent="0.3">
      <c r="A76" s="97" t="s">
        <v>76</v>
      </c>
      <c r="B76" s="98" t="s">
        <v>311</v>
      </c>
    </row>
    <row r="78" spans="1:2" x14ac:dyDescent="0.3">
      <c r="A78" s="117" t="s">
        <v>312</v>
      </c>
      <c r="B78" s="117"/>
    </row>
    <row r="79" spans="1:2" ht="26.4" x14ac:dyDescent="0.3">
      <c r="A79" s="97" t="s">
        <v>78</v>
      </c>
      <c r="B79" s="98" t="s">
        <v>313</v>
      </c>
    </row>
    <row r="80" spans="1:2" ht="26.4" x14ac:dyDescent="0.3">
      <c r="A80" s="97" t="s">
        <v>314</v>
      </c>
      <c r="B80" s="98" t="s">
        <v>315</v>
      </c>
    </row>
    <row r="81" spans="1:2" ht="26.4" x14ac:dyDescent="0.3">
      <c r="A81" s="97" t="s">
        <v>316</v>
      </c>
      <c r="B81" s="98" t="s">
        <v>317</v>
      </c>
    </row>
    <row r="82" spans="1:2" ht="26.4" x14ac:dyDescent="0.3">
      <c r="A82" s="97" t="s">
        <v>318</v>
      </c>
      <c r="B82" s="98" t="s">
        <v>319</v>
      </c>
    </row>
    <row r="83" spans="1:2" ht="26.4" x14ac:dyDescent="0.3">
      <c r="A83" s="97" t="s">
        <v>320</v>
      </c>
      <c r="B83" s="98" t="s">
        <v>321</v>
      </c>
    </row>
    <row r="84" spans="1:2" x14ac:dyDescent="0.3">
      <c r="A84" s="97" t="s">
        <v>322</v>
      </c>
      <c r="B84" s="98" t="s">
        <v>323</v>
      </c>
    </row>
    <row r="85" spans="1:2" ht="26.4" x14ac:dyDescent="0.3">
      <c r="A85" s="97" t="s">
        <v>324</v>
      </c>
      <c r="B85" s="98" t="s">
        <v>325</v>
      </c>
    </row>
    <row r="86" spans="1:2" ht="26.4" x14ac:dyDescent="0.3">
      <c r="A86" s="97" t="s">
        <v>132</v>
      </c>
      <c r="B86" s="98" t="s">
        <v>326</v>
      </c>
    </row>
    <row r="87" spans="1:2" ht="26.4" x14ac:dyDescent="0.3">
      <c r="A87" s="97" t="s">
        <v>327</v>
      </c>
      <c r="B87" s="98" t="s">
        <v>328</v>
      </c>
    </row>
    <row r="88" spans="1:2" ht="26.4" x14ac:dyDescent="0.3">
      <c r="A88" s="97" t="s">
        <v>84</v>
      </c>
      <c r="B88" s="98" t="s">
        <v>329</v>
      </c>
    </row>
    <row r="89" spans="1:2" ht="26.4" x14ac:dyDescent="0.3">
      <c r="A89" s="97" t="s">
        <v>85</v>
      </c>
      <c r="B89" s="98" t="s">
        <v>330</v>
      </c>
    </row>
    <row r="92" spans="1:2" ht="16.8" x14ac:dyDescent="0.3">
      <c r="A92" s="116" t="s">
        <v>331</v>
      </c>
      <c r="B92" s="116"/>
    </row>
    <row r="94" spans="1:2" x14ac:dyDescent="0.3">
      <c r="A94" s="117" t="s">
        <v>332</v>
      </c>
      <c r="B94" s="117"/>
    </row>
    <row r="95" spans="1:2" ht="26.4" x14ac:dyDescent="0.3">
      <c r="A95" s="97" t="s">
        <v>333</v>
      </c>
      <c r="B95" s="98" t="s">
        <v>334</v>
      </c>
    </row>
    <row r="96" spans="1:2" ht="26.4" x14ac:dyDescent="0.3">
      <c r="A96" s="97" t="s">
        <v>335</v>
      </c>
      <c r="B96" s="98" t="s">
        <v>336</v>
      </c>
    </row>
    <row r="97" spans="1:2" ht="26.4" x14ac:dyDescent="0.3">
      <c r="A97" s="97" t="s">
        <v>337</v>
      </c>
      <c r="B97" s="98" t="s">
        <v>338</v>
      </c>
    </row>
    <row r="98" spans="1:2" ht="26.4" x14ac:dyDescent="0.3">
      <c r="A98" s="97" t="s">
        <v>339</v>
      </c>
      <c r="B98" s="98" t="s">
        <v>340</v>
      </c>
    </row>
    <row r="99" spans="1:2" ht="26.4" x14ac:dyDescent="0.3">
      <c r="A99" s="97" t="s">
        <v>341</v>
      </c>
      <c r="B99" s="98" t="s">
        <v>342</v>
      </c>
    </row>
    <row r="100" spans="1:2" ht="26.4" x14ac:dyDescent="0.3">
      <c r="A100" s="97" t="s">
        <v>343</v>
      </c>
      <c r="B100" s="98" t="s">
        <v>344</v>
      </c>
    </row>
    <row r="101" spans="1:2" ht="26.4" x14ac:dyDescent="0.3">
      <c r="A101" s="97" t="s">
        <v>345</v>
      </c>
      <c r="B101" s="98" t="s">
        <v>346</v>
      </c>
    </row>
    <row r="102" spans="1:2" ht="26.4" x14ac:dyDescent="0.3">
      <c r="A102" s="97" t="s">
        <v>347</v>
      </c>
      <c r="B102" s="98" t="s">
        <v>348</v>
      </c>
    </row>
    <row r="103" spans="1:2" ht="26.4" x14ac:dyDescent="0.3">
      <c r="A103" s="97" t="s">
        <v>349</v>
      </c>
      <c r="B103" s="98" t="s">
        <v>350</v>
      </c>
    </row>
    <row r="105" spans="1:2" x14ac:dyDescent="0.3">
      <c r="A105" s="117" t="s">
        <v>351</v>
      </c>
      <c r="B105" s="117"/>
    </row>
    <row r="106" spans="1:2" ht="26.4" x14ac:dyDescent="0.3">
      <c r="A106" s="97" t="s">
        <v>352</v>
      </c>
      <c r="B106" s="98" t="s">
        <v>353</v>
      </c>
    </row>
    <row r="107" spans="1:2" ht="26.4" x14ac:dyDescent="0.3">
      <c r="A107" s="97" t="s">
        <v>354</v>
      </c>
      <c r="B107" s="98" t="s">
        <v>355</v>
      </c>
    </row>
    <row r="108" spans="1:2" ht="26.4" x14ac:dyDescent="0.3">
      <c r="A108" s="97" t="s">
        <v>356</v>
      </c>
      <c r="B108" s="98" t="s">
        <v>357</v>
      </c>
    </row>
    <row r="109" spans="1:2" ht="26.4" x14ac:dyDescent="0.3">
      <c r="A109" s="97" t="s">
        <v>358</v>
      </c>
      <c r="B109" s="98" t="s">
        <v>359</v>
      </c>
    </row>
    <row r="110" spans="1:2" ht="26.4" x14ac:dyDescent="0.3">
      <c r="A110" s="97" t="s">
        <v>360</v>
      </c>
      <c r="B110" s="98" t="s">
        <v>361</v>
      </c>
    </row>
    <row r="111" spans="1:2" ht="26.4" x14ac:dyDescent="0.3">
      <c r="A111" s="97" t="s">
        <v>362</v>
      </c>
      <c r="B111" s="98" t="s">
        <v>363</v>
      </c>
    </row>
    <row r="112" spans="1:2" ht="26.4" x14ac:dyDescent="0.3">
      <c r="A112" s="97" t="s">
        <v>364</v>
      </c>
      <c r="B112" s="98" t="s">
        <v>365</v>
      </c>
    </row>
    <row r="113" spans="1:2" ht="26.4" x14ac:dyDescent="0.3">
      <c r="A113" s="97" t="s">
        <v>366</v>
      </c>
      <c r="B113" s="98" t="s">
        <v>367</v>
      </c>
    </row>
    <row r="114" spans="1:2" ht="26.4" x14ac:dyDescent="0.3">
      <c r="A114" s="97" t="s">
        <v>368</v>
      </c>
      <c r="B114" s="98" t="s">
        <v>369</v>
      </c>
    </row>
    <row r="115" spans="1:2" ht="26.4" x14ac:dyDescent="0.3">
      <c r="A115" s="97" t="s">
        <v>370</v>
      </c>
      <c r="B115" s="98" t="s">
        <v>371</v>
      </c>
    </row>
    <row r="117" spans="1:2" x14ac:dyDescent="0.3">
      <c r="A117" s="117" t="s">
        <v>372</v>
      </c>
      <c r="B117" s="117"/>
    </row>
    <row r="118" spans="1:2" ht="26.4" x14ac:dyDescent="0.3">
      <c r="A118" s="97" t="s">
        <v>373</v>
      </c>
      <c r="B118" s="98" t="s">
        <v>374</v>
      </c>
    </row>
    <row r="119" spans="1:2" ht="26.4" x14ac:dyDescent="0.3">
      <c r="A119" s="97" t="s">
        <v>375</v>
      </c>
      <c r="B119" s="98" t="s">
        <v>376</v>
      </c>
    </row>
    <row r="120" spans="1:2" ht="26.4" x14ac:dyDescent="0.3">
      <c r="A120" s="97" t="s">
        <v>377</v>
      </c>
      <c r="B120" s="98" t="s">
        <v>378</v>
      </c>
    </row>
    <row r="121" spans="1:2" ht="26.4" x14ac:dyDescent="0.3">
      <c r="A121" s="97" t="s">
        <v>379</v>
      </c>
      <c r="B121" s="98" t="s">
        <v>380</v>
      </c>
    </row>
    <row r="122" spans="1:2" ht="26.4" x14ac:dyDescent="0.3">
      <c r="A122" s="97" t="s">
        <v>381</v>
      </c>
      <c r="B122" s="98" t="s">
        <v>382</v>
      </c>
    </row>
    <row r="123" spans="1:2" ht="26.4" x14ac:dyDescent="0.3">
      <c r="A123" s="97" t="s">
        <v>383</v>
      </c>
      <c r="B123" s="98" t="s">
        <v>384</v>
      </c>
    </row>
    <row r="124" spans="1:2" ht="26.4" x14ac:dyDescent="0.3">
      <c r="A124" s="97" t="s">
        <v>385</v>
      </c>
      <c r="B124" s="98" t="s">
        <v>386</v>
      </c>
    </row>
    <row r="125" spans="1:2" ht="26.4" x14ac:dyDescent="0.3">
      <c r="A125" s="97" t="s">
        <v>387</v>
      </c>
      <c r="B125" s="98" t="s">
        <v>388</v>
      </c>
    </row>
    <row r="126" spans="1:2" x14ac:dyDescent="0.3">
      <c r="A126" s="97" t="s">
        <v>389</v>
      </c>
      <c r="B126" s="98" t="s">
        <v>390</v>
      </c>
    </row>
    <row r="127" spans="1:2" x14ac:dyDescent="0.3">
      <c r="A127" s="97" t="s">
        <v>391</v>
      </c>
      <c r="B127" s="98" t="s">
        <v>392</v>
      </c>
    </row>
    <row r="128" spans="1:2" x14ac:dyDescent="0.3">
      <c r="A128" s="97" t="s">
        <v>393</v>
      </c>
      <c r="B128" s="98" t="s">
        <v>394</v>
      </c>
    </row>
    <row r="129" spans="1:2" ht="26.4" x14ac:dyDescent="0.3">
      <c r="A129" s="97" t="s">
        <v>395</v>
      </c>
      <c r="B129" s="98" t="s">
        <v>396</v>
      </c>
    </row>
    <row r="131" spans="1:2" x14ac:dyDescent="0.3">
      <c r="A131" s="117" t="s">
        <v>397</v>
      </c>
      <c r="B131" s="117"/>
    </row>
    <row r="132" spans="1:2" ht="26.4" x14ac:dyDescent="0.3">
      <c r="A132" s="97" t="s">
        <v>398</v>
      </c>
      <c r="B132" s="98" t="s">
        <v>399</v>
      </c>
    </row>
    <row r="133" spans="1:2" x14ac:dyDescent="0.3">
      <c r="A133" s="97" t="s">
        <v>400</v>
      </c>
      <c r="B133" s="98" t="s">
        <v>401</v>
      </c>
    </row>
    <row r="134" spans="1:2" x14ac:dyDescent="0.3">
      <c r="A134" s="97" t="s">
        <v>402</v>
      </c>
      <c r="B134" s="98" t="s">
        <v>403</v>
      </c>
    </row>
    <row r="135" spans="1:2" ht="26.4" x14ac:dyDescent="0.3">
      <c r="A135" s="97" t="s">
        <v>404</v>
      </c>
      <c r="B135" s="98" t="s">
        <v>405</v>
      </c>
    </row>
    <row r="136" spans="1:2" x14ac:dyDescent="0.3">
      <c r="A136" s="97" t="s">
        <v>406</v>
      </c>
      <c r="B136" s="98" t="s">
        <v>407</v>
      </c>
    </row>
    <row r="137" spans="1:2" ht="26.4" x14ac:dyDescent="0.3">
      <c r="A137" s="97" t="s">
        <v>408</v>
      </c>
      <c r="B137" s="98" t="s">
        <v>409</v>
      </c>
    </row>
    <row r="139" spans="1:2" x14ac:dyDescent="0.3">
      <c r="A139" s="117" t="s">
        <v>410</v>
      </c>
      <c r="B139" s="117"/>
    </row>
    <row r="140" spans="1:2" ht="26.4" x14ac:dyDescent="0.3">
      <c r="A140" s="97" t="s">
        <v>411</v>
      </c>
      <c r="B140" s="98" t="s">
        <v>412</v>
      </c>
    </row>
    <row r="141" spans="1:2" x14ac:dyDescent="0.3">
      <c r="A141" s="97" t="s">
        <v>413</v>
      </c>
      <c r="B141" s="98" t="s">
        <v>414</v>
      </c>
    </row>
    <row r="142" spans="1:2" x14ac:dyDescent="0.3">
      <c r="A142" s="97" t="s">
        <v>415</v>
      </c>
      <c r="B142" s="98" t="s">
        <v>416</v>
      </c>
    </row>
    <row r="143" spans="1:2" ht="26.4" x14ac:dyDescent="0.3">
      <c r="A143" s="97" t="s">
        <v>417</v>
      </c>
      <c r="B143" s="98" t="s">
        <v>418</v>
      </c>
    </row>
  </sheetData>
  <mergeCells count="16">
    <mergeCell ref="A139:B139"/>
    <mergeCell ref="A92:B92"/>
    <mergeCell ref="A94:B94"/>
    <mergeCell ref="A105:B105"/>
    <mergeCell ref="A117:B117"/>
    <mergeCell ref="A131:B131"/>
    <mergeCell ref="A38:B38"/>
    <mergeCell ref="A44:B44"/>
    <mergeCell ref="A50:B50"/>
    <mergeCell ref="A62:B62"/>
    <mergeCell ref="A78:B78"/>
    <mergeCell ref="A1:B1"/>
    <mergeCell ref="A3:B3"/>
    <mergeCell ref="A8:B8"/>
    <mergeCell ref="A18:B18"/>
    <mergeCell ref="A36:B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FS &amp; Trend Analysis</vt:lpstr>
      <vt:lpstr>Sheet1</vt:lpstr>
      <vt:lpstr>Common Size FS</vt:lpstr>
      <vt:lpstr>Comparative FS</vt:lpstr>
      <vt:lpstr>Cash Flow Statement</vt:lpstr>
      <vt:lpstr>Shareholding</vt:lpstr>
      <vt:lpstr>Line Item Meanings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RAJAN</dc:creator>
  <dc:description/>
  <cp:lastModifiedBy>Yeswanth Gavini</cp:lastModifiedBy>
  <cp:revision>2</cp:revision>
  <dcterms:created xsi:type="dcterms:W3CDTF">2022-08-27T18:36:13Z</dcterms:created>
  <dcterms:modified xsi:type="dcterms:W3CDTF">2026-09-25T05:15:36Z</dcterms:modified>
  <dc:language>en-US</dc:language>
</cp:coreProperties>
</file>